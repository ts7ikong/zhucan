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500"/>
  </bookViews>
  <sheets>
    <sheet name="工作表1" sheetId="1" r:id="rId1"/>
  </sheets>
  <definedNames>
    <definedName name="_xlnm._FilterDatabase" localSheetId="0" hidden="1">工作表1!$A$1:$I$110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<sst xmlns="http://schemas.openxmlformats.org/spreadsheetml/2006/main" count="385" uniqueCount="233">
  <si>
    <t>人员单价标准</t>
  </si>
  <si>
    <t>角色</t>
  </si>
  <si>
    <r>
      <rPr>
        <b/>
        <sz val="10"/>
        <color rgb="FFFFFFFF"/>
        <rFont val="Noto Sans CJK SC"/>
        <charset val="134"/>
      </rPr>
      <t>单价（元</t>
    </r>
    <r>
      <rPr>
        <b/>
        <sz val="10"/>
        <color rgb="FFFFFFFF"/>
        <rFont val="Arial"/>
        <charset val="1"/>
      </rPr>
      <t>/</t>
    </r>
    <r>
      <rPr>
        <b/>
        <sz val="10"/>
        <color rgb="FFFFFFFF"/>
        <rFont val="Noto Sans CJK SC"/>
        <charset val="134"/>
      </rPr>
      <t>天）</t>
    </r>
  </si>
  <si>
    <t>承担人员说明</t>
  </si>
  <si>
    <t>架构师</t>
  </si>
  <si>
    <t>负责项目整体架构设计以及项目进度把控等</t>
  </si>
  <si>
    <t>高级后端工程师</t>
  </si>
  <si>
    <t>后端开发工程师</t>
  </si>
  <si>
    <t>高级前端工程师</t>
  </si>
  <si>
    <t>前端开发工程师</t>
  </si>
  <si>
    <t>测试工程师</t>
  </si>
  <si>
    <t>测试项目功能是否正常</t>
  </si>
  <si>
    <t>设计师</t>
  </si>
  <si>
    <t>UI设计、页面设计</t>
  </si>
  <si>
    <t>功能明细表</t>
  </si>
  <si>
    <t>序号</t>
  </si>
  <si>
    <t>功能模块</t>
  </si>
  <si>
    <t>功能名称</t>
  </si>
  <si>
    <t>功能说明</t>
  </si>
  <si>
    <t>类型</t>
  </si>
  <si>
    <r>
      <rPr>
        <b/>
        <sz val="10"/>
        <color rgb="FFFFFFFF"/>
        <rFont val="Noto Sans CJK SC"/>
        <charset val="134"/>
      </rPr>
      <t>工时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charset val="134"/>
      </rPr>
      <t>人天</t>
    </r>
    <r>
      <rPr>
        <b/>
        <sz val="10"/>
        <color rgb="FFFFFFFF"/>
        <rFont val="Arial"/>
        <charset val="1"/>
      </rPr>
      <t>)</t>
    </r>
  </si>
  <si>
    <t>人员角色</t>
  </si>
  <si>
    <r>
      <rPr>
        <b/>
        <sz val="10"/>
        <color rgb="FFFFFFFF"/>
        <rFont val="Noto Sans CJK SC"/>
        <charset val="134"/>
      </rPr>
      <t>单价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charset val="134"/>
      </rPr>
      <t>元</t>
    </r>
    <r>
      <rPr>
        <b/>
        <sz val="10"/>
        <color rgb="FFFFFFFF"/>
        <rFont val="Arial"/>
        <charset val="1"/>
      </rPr>
      <t>)</t>
    </r>
  </si>
  <si>
    <r>
      <rPr>
        <b/>
        <sz val="10"/>
        <color rgb="FFFFFFFF"/>
        <rFont val="Noto Sans CJK SC"/>
        <charset val="134"/>
      </rPr>
      <t>小计</t>
    </r>
    <r>
      <rPr>
        <b/>
        <sz val="10"/>
        <color rgb="FFFFFFFF"/>
        <rFont val="Arial"/>
        <charset val="1"/>
      </rPr>
      <t>(</t>
    </r>
    <r>
      <rPr>
        <b/>
        <sz val="10"/>
        <color rgb="FFFFFFFF"/>
        <rFont val="Noto Sans CJK SC"/>
        <charset val="134"/>
      </rPr>
      <t>元</t>
    </r>
    <r>
      <rPr>
        <b/>
        <sz val="10"/>
        <color rgb="FFFFFFFF"/>
        <rFont val="Arial"/>
        <charset val="1"/>
      </rPr>
      <t>)</t>
    </r>
  </si>
  <si>
    <t>一、基础框架搭建</t>
  </si>
  <si>
    <t>基础框架</t>
  </si>
  <si>
    <r>
      <rPr>
        <sz val="9"/>
        <color rgb="FF000000"/>
        <rFont val="Arial"/>
        <charset val="1"/>
      </rPr>
      <t xml:space="preserve">JeecgBoot </t>
    </r>
    <r>
      <rPr>
        <sz val="9"/>
        <color rgb="FF000000"/>
        <rFont val="Noto Sans CJK SC"/>
        <charset val="134"/>
      </rPr>
      <t>项目初始化与架构设计</t>
    </r>
  </si>
  <si>
    <r>
      <rPr>
        <sz val="9"/>
        <color rgb="FF000000"/>
        <rFont val="Noto Sans CJK SC"/>
        <charset val="134"/>
      </rPr>
      <t xml:space="preserve">基于 </t>
    </r>
    <r>
      <rPr>
        <sz val="9"/>
        <color rgb="FF000000"/>
        <rFont val="Arial"/>
        <charset val="1"/>
      </rPr>
      <t xml:space="preserve">JeecgBoot </t>
    </r>
    <r>
      <rPr>
        <sz val="9"/>
        <color rgb="FF000000"/>
        <rFont val="Noto Sans CJK SC"/>
        <charset val="134"/>
      </rPr>
      <t xml:space="preserve">搭建后端基础框架，集成 </t>
    </r>
    <r>
      <rPr>
        <sz val="9"/>
        <color rgb="FF000000"/>
        <rFont val="Arial"/>
        <charset val="1"/>
      </rPr>
      <t>Spring Boot</t>
    </r>
    <r>
      <rPr>
        <sz val="9"/>
        <color rgb="FF000000"/>
        <rFont val="Noto Sans CJK SC"/>
        <charset val="134"/>
      </rPr>
      <t>、</t>
    </r>
    <r>
      <rPr>
        <sz val="9"/>
        <color rgb="FF000000"/>
        <rFont val="Arial"/>
        <charset val="1"/>
      </rPr>
      <t>Spring AI</t>
    </r>
    <r>
      <rPr>
        <sz val="9"/>
        <color rgb="FF000000"/>
        <rFont val="Noto Sans CJK SC"/>
        <charset val="134"/>
      </rPr>
      <t xml:space="preserve">，完成系统架构设计，配置 </t>
    </r>
    <r>
      <rPr>
        <sz val="9"/>
        <color rgb="FF000000"/>
        <rFont val="Arial"/>
        <charset val="1"/>
      </rPr>
      <t>MySQL</t>
    </r>
    <r>
      <rPr>
        <sz val="9"/>
        <color rgb="FF000000"/>
        <rFont val="Noto Sans CJK SC"/>
        <charset val="134"/>
      </rPr>
      <t>、</t>
    </r>
    <r>
      <rPr>
        <sz val="9"/>
        <color rgb="FF000000"/>
        <rFont val="Arial"/>
        <charset val="1"/>
      </rPr>
      <t xml:space="preserve">Redis </t>
    </r>
    <r>
      <rPr>
        <sz val="9"/>
        <color rgb="FF000000"/>
        <rFont val="Noto Sans CJK SC"/>
        <charset val="134"/>
      </rPr>
      <t>基础环境，制定开发规范</t>
    </r>
  </si>
  <si>
    <t>开发</t>
  </si>
  <si>
    <t>四端路由与权限体系</t>
  </si>
  <si>
    <r>
      <rPr>
        <sz val="9"/>
        <color rgb="FF000000"/>
        <rFont val="Noto Sans CJK SC"/>
        <charset val="134"/>
      </rPr>
      <t xml:space="preserve">配置求职端、企业端、政府端、平台管理后台四套路由及权限隔离，基于 </t>
    </r>
    <r>
      <rPr>
        <sz val="9"/>
        <color rgb="FF000000"/>
        <rFont val="Arial"/>
        <charset val="1"/>
      </rPr>
      <t xml:space="preserve">JeecgBoot </t>
    </r>
    <r>
      <rPr>
        <sz val="9"/>
        <color rgb="FF000000"/>
        <rFont val="Noto Sans CJK SC"/>
        <charset val="134"/>
      </rPr>
      <t>权限模块扩展四类用户角色（求职者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企业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管理员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政府）</t>
    </r>
  </si>
  <si>
    <t>数据库</t>
  </si>
  <si>
    <t>数据库设计与建表</t>
  </si>
  <si>
    <r>
      <rPr>
        <sz val="9"/>
        <color rgb="FF000000"/>
        <rFont val="Noto Sans CJK SC"/>
        <charset val="134"/>
      </rPr>
      <t xml:space="preserve">根据 </t>
    </r>
    <r>
      <rPr>
        <sz val="9"/>
        <color rgb="FF000000"/>
        <rFont val="Arial"/>
        <charset val="1"/>
      </rPr>
      <t xml:space="preserve">PRD </t>
    </r>
    <r>
      <rPr>
        <sz val="9"/>
        <color rgb="FF000000"/>
        <rFont val="Noto Sans CJK SC"/>
        <charset val="134"/>
      </rPr>
      <t>设计全部业务表（</t>
    </r>
    <r>
      <rPr>
        <sz val="9"/>
        <color rgb="FF000000"/>
        <rFont val="Arial"/>
        <charset val="1"/>
      </rPr>
      <t>15</t>
    </r>
    <r>
      <rPr>
        <sz val="9"/>
        <color rgb="FF000000"/>
        <rFont val="Noto Sans CJK SC"/>
        <charset val="134"/>
      </rPr>
      <t>张核心表：用户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简历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岗位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投递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匹配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政策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 xml:space="preserve">面试等），完成 </t>
    </r>
    <r>
      <rPr>
        <sz val="9"/>
        <color rgb="FF000000"/>
        <rFont val="Arial"/>
        <charset val="1"/>
      </rPr>
      <t xml:space="preserve">MySQL </t>
    </r>
    <r>
      <rPr>
        <sz val="9"/>
        <color rgb="FF000000"/>
        <rFont val="Noto Sans CJK SC"/>
        <charset val="134"/>
      </rPr>
      <t xml:space="preserve">建表脚本，配置 </t>
    </r>
    <r>
      <rPr>
        <sz val="9"/>
        <color rgb="FF000000"/>
        <rFont val="Arial"/>
        <charset val="1"/>
      </rPr>
      <t xml:space="preserve">Redis </t>
    </r>
    <r>
      <rPr>
        <sz val="9"/>
        <color rgb="FF000000"/>
        <rFont val="Noto Sans CJK SC"/>
        <charset val="134"/>
      </rPr>
      <t>缓存策略</t>
    </r>
  </si>
  <si>
    <t>前端框架</t>
  </si>
  <si>
    <r>
      <rPr>
        <sz val="9"/>
        <color rgb="FF000000"/>
        <rFont val="Arial"/>
        <charset val="1"/>
      </rPr>
      <t xml:space="preserve">Vue3 + </t>
    </r>
    <r>
      <rPr>
        <sz val="9"/>
        <color rgb="FF000000"/>
        <rFont val="Noto Sans CJK SC"/>
        <charset val="134"/>
      </rPr>
      <t>小程序基础框架搭建</t>
    </r>
  </si>
  <si>
    <r>
      <rPr>
        <sz val="9"/>
        <color rgb="FF000000"/>
        <rFont val="Arial"/>
        <charset val="1"/>
      </rPr>
      <t xml:space="preserve">PC </t>
    </r>
    <r>
      <rPr>
        <sz val="9"/>
        <color rgb="FF000000"/>
        <rFont val="Noto Sans CJK SC"/>
        <charset val="134"/>
      </rPr>
      <t xml:space="preserve">端 </t>
    </r>
    <r>
      <rPr>
        <sz val="9"/>
        <color rgb="FF000000"/>
        <rFont val="Arial"/>
        <charset val="1"/>
      </rPr>
      <t xml:space="preserve">Vue3+Vite+Element Plus </t>
    </r>
    <r>
      <rPr>
        <sz val="9"/>
        <color rgb="FF000000"/>
        <rFont val="Noto Sans CJK SC"/>
        <charset val="134"/>
      </rPr>
      <t>基础框架搭建；微信小程序（</t>
    </r>
    <r>
      <rPr>
        <sz val="9"/>
        <color rgb="FF000000"/>
        <rFont val="Arial"/>
        <charset val="1"/>
      </rPr>
      <t>uni-app</t>
    </r>
    <r>
      <rPr>
        <sz val="9"/>
        <color rgb="FF000000"/>
        <rFont val="Noto Sans CJK SC"/>
        <charset val="134"/>
      </rPr>
      <t>）基础框架搭建，配置路由、</t>
    </r>
    <r>
      <rPr>
        <sz val="9"/>
        <color rgb="FF000000"/>
        <rFont val="Arial"/>
        <charset val="1"/>
      </rPr>
      <t xml:space="preserve">Pinia </t>
    </r>
    <r>
      <rPr>
        <sz val="9"/>
        <color rgb="FF000000"/>
        <rFont val="Noto Sans CJK SC"/>
        <charset val="134"/>
      </rPr>
      <t>状态管理、请求封装、四端通用布局</t>
    </r>
  </si>
  <si>
    <t>无障碍基础能力实现</t>
  </si>
  <si>
    <r>
      <rPr>
        <sz val="9"/>
        <color rgb="FF000000"/>
        <rFont val="Noto Sans CJK SC"/>
        <charset val="134"/>
      </rPr>
      <t xml:space="preserve">实现高对比度模式一键切换、字体大小四档调节（全站生效）；为所有可交互元素添加 </t>
    </r>
    <r>
      <rPr>
        <sz val="9"/>
        <color rgb="FF000000"/>
        <rFont val="Arial"/>
        <charset val="1"/>
      </rPr>
      <t>aria-label</t>
    </r>
    <r>
      <rPr>
        <sz val="9"/>
        <color rgb="FF000000"/>
        <rFont val="Noto Sans CJK SC"/>
        <charset val="134"/>
      </rPr>
      <t xml:space="preserve">，图片添加 </t>
    </r>
    <r>
      <rPr>
        <sz val="9"/>
        <color rgb="FF000000"/>
        <rFont val="Arial"/>
        <charset val="1"/>
      </rPr>
      <t xml:space="preserve">alt </t>
    </r>
    <r>
      <rPr>
        <sz val="9"/>
        <color rgb="FF000000"/>
        <rFont val="Noto Sans CJK SC"/>
        <charset val="134"/>
      </rPr>
      <t>文本，满足残疾人无障碍基础要求</t>
    </r>
  </si>
  <si>
    <t>小计</t>
  </si>
  <si>
    <t>二、用户与认证模块</t>
  </si>
  <si>
    <t>用户注册登录</t>
  </si>
  <si>
    <r>
      <rPr>
        <sz val="9"/>
        <color rgb="FF000000"/>
        <rFont val="Noto Sans CJK SC"/>
        <charset val="134"/>
      </rPr>
      <t>四类用户注册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登录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找回密码</t>
    </r>
  </si>
  <si>
    <r>
      <rPr>
        <sz val="9"/>
        <color rgb="FF000000"/>
        <rFont val="Noto Sans CJK SC"/>
        <charset val="134"/>
      </rPr>
      <t>手机号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密码注册、短信验证码登录、找回密码，覆盖求职者、企业、平台管理员、政府用户四类账号体系，登录失败</t>
    </r>
    <r>
      <rPr>
        <sz val="9"/>
        <color rgb="FF000000"/>
        <rFont val="Arial"/>
        <charset val="1"/>
      </rPr>
      <t>5</t>
    </r>
    <r>
      <rPr>
        <sz val="9"/>
        <color rgb="FF000000"/>
        <rFont val="Noto Sans CJK SC"/>
        <charset val="134"/>
      </rPr>
      <t>次触发验证码</t>
    </r>
  </si>
  <si>
    <t>实名认证</t>
  </si>
  <si>
    <t>腾讯云实人认证接口对接</t>
  </si>
  <si>
    <r>
      <rPr>
        <sz val="9"/>
        <color rgb="FF000000"/>
        <rFont val="Noto Sans CJK SC"/>
        <charset val="134"/>
      </rPr>
      <t xml:space="preserve">对接腾讯云 </t>
    </r>
    <r>
      <rPr>
        <sz val="9"/>
        <color rgb="FF000000"/>
        <rFont val="Arial"/>
        <charset val="1"/>
      </rPr>
      <t xml:space="preserve">eKYC </t>
    </r>
    <r>
      <rPr>
        <sz val="9"/>
        <color rgb="FF000000"/>
        <rFont val="Noto Sans CJK SC"/>
        <charset val="134"/>
      </rPr>
      <t>接口，实现姓名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身份证号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活体检测实名认证，仅存储「已认证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未认证」状态，不留存生物信息或原始照片</t>
    </r>
  </si>
  <si>
    <t>企业认证</t>
  </si>
  <si>
    <t>企业注册与营业执照审核</t>
  </si>
  <si>
    <r>
      <rPr>
        <sz val="9"/>
        <color rgb="FF000000"/>
        <rFont val="Noto Sans CJK SC"/>
        <charset val="134"/>
      </rPr>
      <t>企业填写基本信息（全称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信用代码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行业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规模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联系人）、上传营业执照，平台管理员审核通过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拒绝并填写理由，审核结果短信通知企业</t>
    </r>
  </si>
  <si>
    <t>认证企业升级与年费到期管理</t>
  </si>
  <si>
    <r>
      <rPr>
        <sz val="9"/>
        <color rgb="FF000000"/>
        <rFont val="Noto Sans CJK SC"/>
        <charset val="134"/>
      </rPr>
      <t>企业支付年费（微信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支付宝），平台管理员确认后激活认证企业状态（</t>
    </r>
    <r>
      <rPr>
        <sz val="9"/>
        <color rgb="FF000000"/>
        <rFont val="Arial"/>
        <charset val="1"/>
      </rPr>
      <t>50</t>
    </r>
    <r>
      <rPr>
        <sz val="9"/>
        <color rgb="FF000000"/>
        <rFont val="Noto Sans CJK SC"/>
        <charset val="134"/>
      </rPr>
      <t>个岗位</t>
    </r>
    <r>
      <rPr>
        <sz val="9"/>
        <color rgb="FF000000"/>
        <rFont val="Arial"/>
        <charset val="1"/>
      </rPr>
      <t>/90</t>
    </r>
    <r>
      <rPr>
        <sz val="9"/>
        <color rgb="FF000000"/>
        <rFont val="Noto Sans CJK SC"/>
        <charset val="134"/>
      </rPr>
      <t>天有效期）；到期前</t>
    </r>
    <r>
      <rPr>
        <sz val="9"/>
        <color rgb="FF000000"/>
        <rFont val="Arial"/>
        <charset val="1"/>
      </rPr>
      <t>30</t>
    </r>
    <r>
      <rPr>
        <sz val="9"/>
        <color rgb="FF000000"/>
        <rFont val="Noto Sans CJK SC"/>
        <charset val="134"/>
      </rPr>
      <t>天自动提醒续费，到期后自动降级为非认证企业</t>
    </r>
  </si>
  <si>
    <t>短信服务</t>
  </si>
  <si>
    <t>短信验证码与消息通知</t>
  </si>
  <si>
    <r>
      <rPr>
        <sz val="9"/>
        <color rgb="FF000000"/>
        <rFont val="Noto Sans CJK SC"/>
        <charset val="134"/>
      </rPr>
      <t xml:space="preserve">对接阿里云 </t>
    </r>
    <r>
      <rPr>
        <sz val="9"/>
        <color rgb="FF000000"/>
        <rFont val="Arial"/>
        <charset val="1"/>
      </rPr>
      <t xml:space="preserve">SMS / </t>
    </r>
    <r>
      <rPr>
        <sz val="9"/>
        <color rgb="FF000000"/>
        <rFont val="Noto Sans CJK SC"/>
        <charset val="134"/>
      </rPr>
      <t xml:space="preserve">腾讯云 </t>
    </r>
    <r>
      <rPr>
        <sz val="9"/>
        <color rgb="FF000000"/>
        <rFont val="Arial"/>
        <charset val="1"/>
      </rPr>
      <t>SMS</t>
    </r>
    <r>
      <rPr>
        <sz val="9"/>
        <color rgb="FF000000"/>
        <rFont val="Noto Sans CJK SC"/>
        <charset val="134"/>
      </rPr>
      <t>，实现注册验证码、审核结果通知、面试邀约通知、认证到期提醒等消息推送</t>
    </r>
  </si>
  <si>
    <t>三、残疾人求职端</t>
  </si>
  <si>
    <t>简历管理</t>
  </si>
  <si>
    <r>
      <rPr>
        <sz val="9"/>
        <color rgb="FF000000"/>
        <rFont val="Noto Sans CJK SC"/>
        <charset val="134"/>
      </rPr>
      <t xml:space="preserve">个人简历 </t>
    </r>
    <r>
      <rPr>
        <sz val="9"/>
        <color rgb="FF000000"/>
        <rFont val="Arial"/>
        <charset val="1"/>
      </rPr>
      <t>CRUD</t>
    </r>
    <r>
      <rPr>
        <sz val="9"/>
        <color rgb="FF000000"/>
        <rFont val="Noto Sans CJK SC"/>
        <charset val="134"/>
      </rPr>
      <t>（七大模块）</t>
    </r>
  </si>
  <si>
    <r>
      <rPr>
        <sz val="9"/>
        <color rgb="FF000000"/>
        <rFont val="Noto Sans CJK SC"/>
        <charset val="134"/>
      </rPr>
      <t>实现简历七大模块（基本信息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残疾信息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求职意向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教育经历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工作经历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技能证书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自我评价）的创建、编辑、保存；支持简历公开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隐藏设置；残疾证信息全部为选填，平台不做核验</t>
    </r>
  </si>
  <si>
    <t>简历完整度计算与提示</t>
  </si>
  <si>
    <r>
      <rPr>
        <sz val="9"/>
        <color rgb="FF000000"/>
        <rFont val="Noto Sans CJK SC"/>
        <charset val="134"/>
      </rPr>
      <t>实时计算简历完整度百分比，投递前检测完整度是否达到</t>
    </r>
    <r>
      <rPr>
        <sz val="9"/>
        <color rgb="FF000000"/>
        <rFont val="Arial"/>
        <charset val="1"/>
      </rPr>
      <t>60%</t>
    </r>
    <r>
      <rPr>
        <sz val="9"/>
        <color rgb="FF000000"/>
        <rFont val="Noto Sans CJK SC"/>
        <charset val="134"/>
      </rPr>
      <t>，未达到时引导用户补充关键字段，提升匹配质量</t>
    </r>
  </si>
  <si>
    <t>岗位搜索</t>
  </si>
  <si>
    <t>岗位搜索与多维筛选</t>
  </si>
  <si>
    <r>
      <rPr>
        <sz val="9"/>
        <color rgb="FF000000"/>
        <rFont val="Noto Sans CJK SC"/>
        <charset val="134"/>
      </rPr>
      <t>关键词搜索岗位（岗位名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公司名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技能），筛选维度：工作地点（重庆各区县）、行业类别、薪资范围、工作形式（全职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兼职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居家）、发布时间、残疾类型适配；认证企业岗位同等条件下优先展示</t>
    </r>
  </si>
  <si>
    <t>岗位投递</t>
  </si>
  <si>
    <t>一键投递与投递状态跟踪</t>
  </si>
  <si>
    <r>
      <rPr>
        <sz val="9"/>
        <color rgb="FF000000"/>
        <rFont val="Noto Sans CJK SC"/>
        <charset val="134"/>
      </rPr>
      <t>求职者一键投递岗位，在「我的投递」查看状态流转（待查看→已查看→面试邀约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不合适），状态变更时站内消息通知</t>
    </r>
  </si>
  <si>
    <t>消息中心</t>
  </si>
  <si>
    <t>求职者站内消息中心</t>
  </si>
  <si>
    <r>
      <rPr>
        <sz val="9"/>
        <color rgb="FF000000"/>
        <rFont val="Noto Sans CJK SC"/>
        <charset val="134"/>
      </rPr>
      <t>接收企业面试邀约、岗位推荐通知、审核结果等消息，支持已读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未读状态管理，未读消息角标提示</t>
    </r>
  </si>
  <si>
    <t>求职端前端</t>
  </si>
  <si>
    <r>
      <rPr>
        <sz val="9"/>
        <color rgb="FF000000"/>
        <rFont val="Noto Sans CJK SC"/>
        <charset val="134"/>
      </rPr>
      <t xml:space="preserve">求职端 </t>
    </r>
    <r>
      <rPr>
        <sz val="9"/>
        <color rgb="FF000000"/>
        <rFont val="Arial"/>
        <charset val="1"/>
      </rPr>
      <t xml:space="preserve">PC + </t>
    </r>
    <r>
      <rPr>
        <sz val="9"/>
        <color rgb="FF000000"/>
        <rFont val="Noto Sans CJK SC"/>
        <charset val="134"/>
      </rPr>
      <t>微信小程序页面</t>
    </r>
  </si>
  <si>
    <r>
      <rPr>
        <sz val="9"/>
        <color rgb="FF000000"/>
        <rFont val="Noto Sans CJK SC"/>
        <charset val="134"/>
      </rPr>
      <t>注册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登录页、简历填写页（</t>
    </r>
    <r>
      <rPr>
        <sz val="9"/>
        <color rgb="FF000000"/>
        <rFont val="Arial"/>
        <charset val="1"/>
      </rPr>
      <t>7</t>
    </r>
    <r>
      <rPr>
        <sz val="9"/>
        <color rgb="FF000000"/>
        <rFont val="Noto Sans CJK SC"/>
        <charset val="134"/>
      </rPr>
      <t>模块分步填写）、岗位列表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详情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搜索页、投递流程页、「我的投递」状态跟踪页、消息中心页；同步实现微信小程序版本核心功能</t>
    </r>
  </si>
  <si>
    <t>四、企业招聘端</t>
  </si>
  <si>
    <t>岗位管理</t>
  </si>
  <si>
    <r>
      <rPr>
        <sz val="9"/>
        <color rgb="FF000000"/>
        <rFont val="Noto Sans CJK SC"/>
        <charset val="134"/>
      </rPr>
      <t>岗位发布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编辑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下架与数量限制</t>
    </r>
  </si>
  <si>
    <r>
      <rPr>
        <sz val="9"/>
        <color rgb="FF000000"/>
        <rFont val="Noto Sans CJK SC"/>
        <charset val="134"/>
      </rPr>
      <t>企业发布岗位（岗位基本信息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岗位要求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残疾适配信息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岗位描述四大板块），支持编辑、下架、刷新；非认证企业上限</t>
    </r>
    <r>
      <rPr>
        <sz val="9"/>
        <color rgb="FF000000"/>
        <rFont val="Arial"/>
        <charset val="1"/>
      </rPr>
      <t>5</t>
    </r>
    <r>
      <rPr>
        <sz val="9"/>
        <color rgb="FF000000"/>
        <rFont val="Noto Sans CJK SC"/>
        <charset val="134"/>
      </rPr>
      <t>个在招岗位（</t>
    </r>
    <r>
      <rPr>
        <sz val="9"/>
        <color rgb="FF000000"/>
        <rFont val="Arial"/>
        <charset val="1"/>
      </rPr>
      <t>30</t>
    </r>
    <r>
      <rPr>
        <sz val="9"/>
        <color rgb="FF000000"/>
        <rFont val="Noto Sans CJK SC"/>
        <charset val="134"/>
      </rPr>
      <t>天），认证企业上限</t>
    </r>
    <r>
      <rPr>
        <sz val="9"/>
        <color rgb="FF000000"/>
        <rFont val="Arial"/>
        <charset val="1"/>
      </rPr>
      <t>50</t>
    </r>
    <r>
      <rPr>
        <sz val="9"/>
        <color rgb="FF000000"/>
        <rFont val="Noto Sans CJK SC"/>
        <charset val="134"/>
      </rPr>
      <t>个（</t>
    </r>
    <r>
      <rPr>
        <sz val="9"/>
        <color rgb="FF000000"/>
        <rFont val="Arial"/>
        <charset val="1"/>
      </rPr>
      <t>90</t>
    </r>
    <r>
      <rPr>
        <sz val="9"/>
        <color rgb="FF000000"/>
        <rFont val="Noto Sans CJK SC"/>
        <charset val="134"/>
      </rPr>
      <t>天），超限时发布按钮置灰提示升级</t>
    </r>
  </si>
  <si>
    <t>人才搜索</t>
  </si>
  <si>
    <t>简历搜索与多维筛选</t>
  </si>
  <si>
    <r>
      <rPr>
        <sz val="9"/>
        <color rgb="FF000000"/>
        <rFont val="Noto Sans CJK SC"/>
        <charset val="134"/>
      </rPr>
      <t>企业主动搜索求职者简历（仅公开简历），筛选维度：残疾类型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 xml:space="preserve">等级、学历、工作经验年限、期望地点、工作形式；结果按 </t>
    </r>
    <r>
      <rPr>
        <sz val="9"/>
        <color rgb="FF000000"/>
        <rFont val="Arial"/>
        <charset val="1"/>
      </rPr>
      <t xml:space="preserve">AI </t>
    </r>
    <r>
      <rPr>
        <sz val="9"/>
        <color rgb="FF000000"/>
        <rFont val="Noto Sans CJK SC"/>
        <charset val="134"/>
      </rPr>
      <t>匹配度排序展示</t>
    </r>
  </si>
  <si>
    <t>投递管理</t>
  </si>
  <si>
    <t>收到投递管理与状态更新</t>
  </si>
  <si>
    <r>
      <rPr>
        <sz val="9"/>
        <color rgb="FF000000"/>
        <rFont val="Noto Sans CJK SC"/>
        <charset val="134"/>
      </rPr>
      <t>查看收到的简历投递列表，更新投递状态（已查看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面试邀约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不合适），状态变更自动推送站内消息通知求职者</t>
    </r>
  </si>
  <si>
    <t>简历收藏</t>
  </si>
  <si>
    <t>收藏候选人功能</t>
  </si>
  <si>
    <t>企业收藏感兴趣的候选人简历，在「收藏夹」统一管理，支持取消收藏，方便后续持续跟进</t>
  </si>
  <si>
    <t>企业站内消息中心</t>
  </si>
  <si>
    <t>向候选人发送面试邀约，接收投递通知、认证审核结果、认证到期提醒等系统消息</t>
  </si>
  <si>
    <t>企业端前端</t>
  </si>
  <si>
    <r>
      <rPr>
        <sz val="9"/>
        <color rgb="FF000000"/>
        <rFont val="Noto Sans CJK SC"/>
        <charset val="134"/>
      </rPr>
      <t xml:space="preserve">企业端 </t>
    </r>
    <r>
      <rPr>
        <sz val="9"/>
        <color rgb="FF000000"/>
        <rFont val="Arial"/>
        <charset val="1"/>
      </rPr>
      <t xml:space="preserve">PC </t>
    </r>
    <r>
      <rPr>
        <sz val="9"/>
        <color rgb="FF000000"/>
        <rFont val="Noto Sans CJK SC"/>
        <charset val="134"/>
      </rPr>
      <t>全部页面</t>
    </r>
  </si>
  <si>
    <r>
      <rPr>
        <sz val="9"/>
        <color rgb="FF000000"/>
        <rFont val="Noto Sans CJK SC"/>
        <charset val="134"/>
      </rPr>
      <t>注册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认证申请页、岗位发布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管理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详情页、人才搜索页、投递管理页、简历收藏页、消息中心页、认证升级支付页</t>
    </r>
  </si>
  <si>
    <r>
      <rPr>
        <b/>
        <sz val="10"/>
        <color rgb="FFFFFFFF"/>
        <rFont val="Noto Sans CJK SC"/>
        <charset val="134"/>
      </rPr>
      <t>五、</t>
    </r>
    <r>
      <rPr>
        <b/>
        <sz val="10"/>
        <color rgb="FFFFFFFF"/>
        <rFont val="Arial"/>
        <charset val="1"/>
      </rPr>
      <t xml:space="preserve">AI </t>
    </r>
    <r>
      <rPr>
        <b/>
        <sz val="10"/>
        <color rgb="FFFFFFFF"/>
        <rFont val="Noto Sans CJK SC"/>
        <charset val="134"/>
      </rPr>
      <t>双向人岗匹配</t>
    </r>
  </si>
  <si>
    <t>标签体系</t>
  </si>
  <si>
    <t>求职者与岗位标签自动提取</t>
  </si>
  <si>
    <r>
      <rPr>
        <sz val="9"/>
        <color rgb="FF000000"/>
        <rFont val="Noto Sans CJK SC"/>
        <charset val="134"/>
      </rPr>
      <t>从简历和岗位信息中自动提取标准化标签（残疾类型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学历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技能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薪资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工作形式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地点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工作经验），构建双向标签体系，未填写的残疾信息标记为「未知」不影响匹配</t>
    </r>
  </si>
  <si>
    <t>匹配算法</t>
  </si>
  <si>
    <r>
      <rPr>
        <sz val="9"/>
        <color rgb="FF000000"/>
        <rFont val="Noto Sans CJK SC"/>
        <charset val="134"/>
      </rPr>
      <t>五维规则打分引擎（</t>
    </r>
    <r>
      <rPr>
        <sz val="9"/>
        <color rgb="FF000000"/>
        <rFont val="Arial"/>
        <charset val="1"/>
      </rPr>
      <t>100</t>
    </r>
    <r>
      <rPr>
        <sz val="9"/>
        <color rgb="FF000000"/>
        <rFont val="Noto Sans CJK SC"/>
        <charset val="134"/>
      </rPr>
      <t>分制）</t>
    </r>
  </si>
  <si>
    <r>
      <rPr>
        <sz val="9"/>
        <color rgb="FF000000"/>
        <rFont val="Noto Sans CJK SC"/>
        <charset val="134"/>
      </rPr>
      <t>按五维规则计算匹配总分：残疾适配（</t>
    </r>
    <r>
      <rPr>
        <sz val="9"/>
        <color rgb="FF000000"/>
        <rFont val="Arial"/>
        <charset val="1"/>
      </rPr>
      <t>25</t>
    </r>
    <r>
      <rPr>
        <sz val="9"/>
        <color rgb="FF000000"/>
        <rFont val="Noto Sans CJK SC"/>
        <charset val="134"/>
      </rPr>
      <t>分）、工作形式（</t>
    </r>
    <r>
      <rPr>
        <sz val="9"/>
        <color rgb="FF000000"/>
        <rFont val="Arial"/>
        <charset val="1"/>
      </rPr>
      <t>20</t>
    </r>
    <r>
      <rPr>
        <sz val="9"/>
        <color rgb="FF000000"/>
        <rFont val="Noto Sans CJK SC"/>
        <charset val="134"/>
      </rPr>
      <t>分）、地点（</t>
    </r>
    <r>
      <rPr>
        <sz val="9"/>
        <color rgb="FF000000"/>
        <rFont val="Arial"/>
        <charset val="1"/>
      </rPr>
      <t>20</t>
    </r>
    <r>
      <rPr>
        <sz val="9"/>
        <color rgb="FF000000"/>
        <rFont val="Noto Sans CJK SC"/>
        <charset val="134"/>
      </rPr>
      <t>分）、语义相似度（</t>
    </r>
    <r>
      <rPr>
        <sz val="9"/>
        <color rgb="FF000000"/>
        <rFont val="Arial"/>
        <charset val="1"/>
      </rPr>
      <t>20</t>
    </r>
    <r>
      <rPr>
        <sz val="9"/>
        <color rgb="FF000000"/>
        <rFont val="Noto Sans CJK SC"/>
        <charset val="134"/>
      </rPr>
      <t>分）、薪资（</t>
    </r>
    <r>
      <rPr>
        <sz val="9"/>
        <color rgb="FF000000"/>
        <rFont val="Arial"/>
        <charset val="1"/>
      </rPr>
      <t>15</t>
    </r>
    <r>
      <rPr>
        <sz val="9"/>
        <color rgb="FF000000"/>
        <rFont val="Noto Sans CJK SC"/>
        <charset val="134"/>
      </rPr>
      <t>分）；总分≥</t>
    </r>
    <r>
      <rPr>
        <sz val="9"/>
        <color rgb="FF000000"/>
        <rFont val="Arial"/>
        <charset val="1"/>
      </rPr>
      <t>60</t>
    </r>
    <r>
      <rPr>
        <sz val="9"/>
        <color rgb="FF000000"/>
        <rFont val="Noto Sans CJK SC"/>
        <charset val="134"/>
      </rPr>
      <t>纳入推荐，分数高的认证企业岗位优先展示</t>
    </r>
  </si>
  <si>
    <r>
      <rPr>
        <sz val="9"/>
        <color rgb="FF000000"/>
        <rFont val="Arial"/>
        <charset val="1"/>
      </rPr>
      <t>AI</t>
    </r>
    <r>
      <rPr>
        <sz val="9"/>
        <color rgb="FF000000"/>
        <rFont val="Noto Sans CJK SC"/>
        <charset val="134"/>
      </rPr>
      <t>语义计算</t>
    </r>
  </si>
  <si>
    <r>
      <rPr>
        <sz val="9"/>
        <color rgb="FF000000"/>
        <rFont val="Arial"/>
        <charset val="1"/>
      </rPr>
      <t xml:space="preserve">Spring AI </t>
    </r>
    <r>
      <rPr>
        <sz val="9"/>
        <color rgb="FF000000"/>
        <rFont val="Noto Sans CJK SC"/>
        <charset val="134"/>
      </rPr>
      <t>语义相似度计算</t>
    </r>
  </si>
  <si>
    <r>
      <rPr>
        <sz val="9"/>
        <color rgb="FF000000"/>
        <rFont val="Noto Sans CJK SC"/>
        <charset val="134"/>
      </rPr>
      <t xml:space="preserve">通过 </t>
    </r>
    <r>
      <rPr>
        <sz val="9"/>
        <color rgb="FF000000"/>
        <rFont val="Arial"/>
        <charset val="1"/>
      </rPr>
      <t xml:space="preserve">Spring AI </t>
    </r>
    <r>
      <rPr>
        <sz val="9"/>
        <color rgb="FF000000"/>
        <rFont val="Noto Sans CJK SC"/>
        <charset val="134"/>
      </rPr>
      <t>统一调用通义千问</t>
    </r>
    <r>
      <rPr>
        <sz val="9"/>
        <color rgb="FF000000"/>
        <rFont val="Arial"/>
        <charset val="1"/>
      </rPr>
      <t>/DeepSeek</t>
    </r>
    <r>
      <rPr>
        <sz val="9"/>
        <color rgb="FF000000"/>
        <rFont val="Noto Sans CJK SC"/>
        <charset val="134"/>
      </rPr>
      <t>，计算求职者自我评价与岗位描述的语义相似度（</t>
    </r>
    <r>
      <rPr>
        <sz val="9"/>
        <color rgb="FF000000"/>
        <rFont val="Arial"/>
        <charset val="1"/>
      </rPr>
      <t>0-20</t>
    </r>
    <r>
      <rPr>
        <sz val="9"/>
        <color rgb="FF000000"/>
        <rFont val="Noto Sans CJK SC"/>
        <charset val="134"/>
      </rPr>
      <t>分），结果计入匹配总分</t>
    </r>
  </si>
  <si>
    <t>推荐推送</t>
  </si>
  <si>
    <t>每日定时匹配计算与双向推送</t>
  </si>
  <si>
    <r>
      <rPr>
        <sz val="9"/>
        <color rgb="FF000000"/>
        <rFont val="Noto Sans CJK SC"/>
        <charset val="134"/>
      </rPr>
      <t xml:space="preserve">每日定时任务：为每位求职者计算匹配岗位 </t>
    </r>
    <r>
      <rPr>
        <sz val="9"/>
        <color rgb="FF000000"/>
        <rFont val="Arial"/>
        <charset val="1"/>
      </rPr>
      <t>Top10</t>
    </r>
    <r>
      <rPr>
        <sz val="9"/>
        <color rgb="FF000000"/>
        <rFont val="Noto Sans CJK SC"/>
        <charset val="134"/>
      </rPr>
      <t>，展示在首页「为你推荐」，每日最多推送</t>
    </r>
    <r>
      <rPr>
        <sz val="9"/>
        <color rgb="FF000000"/>
        <rFont val="Arial"/>
        <charset val="1"/>
      </rPr>
      <t>3</t>
    </r>
    <r>
      <rPr>
        <sz val="9"/>
        <color rgb="FF000000"/>
        <rFont val="Noto Sans CJK SC"/>
        <charset val="134"/>
      </rPr>
      <t xml:space="preserve">条新岗位消息；企业发布新岗位后自动触发匹配，计算候选人 </t>
    </r>
    <r>
      <rPr>
        <sz val="9"/>
        <color rgb="FF000000"/>
        <rFont val="Arial"/>
        <charset val="1"/>
      </rPr>
      <t xml:space="preserve">Top10 </t>
    </r>
    <r>
      <rPr>
        <sz val="9"/>
        <color rgb="FF000000"/>
        <rFont val="Noto Sans CJK SC"/>
        <charset val="134"/>
      </rPr>
      <t>展示在「推荐人才」区</t>
    </r>
  </si>
  <si>
    <t>多模型支持</t>
  </si>
  <si>
    <r>
      <rPr>
        <sz val="9"/>
        <color rgb="FF000000"/>
        <rFont val="Noto Sans CJK SC"/>
        <charset val="134"/>
      </rPr>
      <t>通义千问</t>
    </r>
    <r>
      <rPr>
        <sz val="9"/>
        <color rgb="FF000000"/>
        <rFont val="Arial"/>
        <charset val="1"/>
      </rPr>
      <t xml:space="preserve">/DeepSeek </t>
    </r>
    <r>
      <rPr>
        <sz val="9"/>
        <color rgb="FF000000"/>
        <rFont val="Noto Sans CJK SC"/>
        <charset val="134"/>
      </rPr>
      <t>可配置切换</t>
    </r>
  </si>
  <si>
    <r>
      <rPr>
        <sz val="9"/>
        <color rgb="FF000000"/>
        <rFont val="Noto Sans CJK SC"/>
        <charset val="134"/>
      </rPr>
      <t xml:space="preserve">通过 </t>
    </r>
    <r>
      <rPr>
        <sz val="9"/>
        <color rgb="FF000000"/>
        <rFont val="Arial"/>
        <charset val="1"/>
      </rPr>
      <t xml:space="preserve">Spring AI </t>
    </r>
    <r>
      <rPr>
        <sz val="9"/>
        <color rgb="FF000000"/>
        <rFont val="Noto Sans CJK SC"/>
        <charset val="134"/>
      </rPr>
      <t>统一封装两个模型的调用方式，支持在后台配置项中切换使用哪个模型，切换不影响业务代码，同时支持不同场景使用不同模型</t>
    </r>
  </si>
  <si>
    <r>
      <rPr>
        <b/>
        <sz val="10"/>
        <color rgb="FFFFFFFF"/>
        <rFont val="Noto Sans CJK SC"/>
        <charset val="134"/>
      </rPr>
      <t>六、</t>
    </r>
    <r>
      <rPr>
        <b/>
        <sz val="10"/>
        <color rgb="FFFFFFFF"/>
        <rFont val="Arial"/>
        <charset val="1"/>
      </rPr>
      <t xml:space="preserve">AI </t>
    </r>
    <r>
      <rPr>
        <b/>
        <sz val="10"/>
        <color rgb="FFFFFFFF"/>
        <rFont val="Noto Sans CJK SC"/>
        <charset val="134"/>
      </rPr>
      <t>助残员</t>
    </r>
  </si>
  <si>
    <t>对话核心</t>
  </si>
  <si>
    <t>多轮对话引擎与上下文管理</t>
  </si>
  <si>
    <r>
      <rPr>
        <sz val="9"/>
        <color rgb="FF000000"/>
        <rFont val="Noto Sans CJK SC"/>
        <charset val="134"/>
      </rPr>
      <t xml:space="preserve">实现 </t>
    </r>
    <r>
      <rPr>
        <sz val="9"/>
        <color rgb="FF000000"/>
        <rFont val="Arial"/>
        <charset val="1"/>
      </rPr>
      <t xml:space="preserve">AI </t>
    </r>
    <r>
      <rPr>
        <sz val="9"/>
        <color rgb="FF000000"/>
        <rFont val="Noto Sans CJK SC"/>
        <charset val="134"/>
      </rPr>
      <t>助残员核心对话逻辑：识别用户身份（求职者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企业），注入简历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岗位摘要作为背景信息，维护最近</t>
    </r>
    <r>
      <rPr>
        <sz val="9"/>
        <color rgb="FF000000"/>
        <rFont val="Arial"/>
        <charset val="1"/>
      </rPr>
      <t>10</t>
    </r>
    <r>
      <rPr>
        <sz val="9"/>
        <color rgb="FF000000"/>
        <rFont val="Noto Sans CJK SC"/>
        <charset val="134"/>
      </rPr>
      <t>轮对话历史，超出后截断最早记录</t>
    </r>
  </si>
  <si>
    <t>求职指导</t>
  </si>
  <si>
    <t>求职者端四大场景</t>
  </si>
  <si>
    <r>
      <rPr>
        <sz val="9"/>
        <color rgb="FF000000"/>
        <rFont val="Noto Sans CJK SC"/>
        <charset val="134"/>
      </rPr>
      <t>覆盖：简历诊断建议（</t>
    </r>
    <r>
      <rPr>
        <sz val="9"/>
        <color rgb="FF000000"/>
        <rFont val="Arial"/>
        <charset val="1"/>
      </rPr>
      <t>AI</t>
    </r>
    <r>
      <rPr>
        <sz val="9"/>
        <color rgb="FF000000"/>
        <rFont val="Noto Sans CJK SC"/>
        <charset val="134"/>
      </rPr>
      <t>分析指出不足）、岗位推荐解释（说明推荐原因）、投递操作指引（引导完成操作）、面试技巧问答（实用建议）</t>
    </r>
  </si>
  <si>
    <t>招聘咨询</t>
  </si>
  <si>
    <t>企业端三大场景</t>
  </si>
  <si>
    <t>覆盖：岗位发布指引（引导完善岗位信息）、候选人匹配解释（说明推荐依据）、人才搜索技巧（指导使用筛选条件）</t>
  </si>
  <si>
    <t>快捷问题</t>
  </si>
  <si>
    <t>快捷提问按钮与知识库管理后台</t>
  </si>
  <si>
    <r>
      <rPr>
        <sz val="9"/>
        <color rgb="FF000000"/>
        <rFont val="Noto Sans CJK SC"/>
        <charset val="134"/>
      </rPr>
      <t>每次打开对话框自动展示</t>
    </r>
    <r>
      <rPr>
        <sz val="9"/>
        <color rgb="FF000000"/>
        <rFont val="Arial"/>
        <charset val="1"/>
      </rPr>
      <t>3-4</t>
    </r>
    <r>
      <rPr>
        <sz val="9"/>
        <color rgb="FF000000"/>
        <rFont val="Noto Sans CJK SC"/>
        <charset val="134"/>
      </rPr>
      <t>个快捷问题按钮（如「帮我看看简历」「如何投递岗位」）；管理后台提供知识库管理入口，运营人员可维护标准问答</t>
    </r>
  </si>
  <si>
    <t>助残员前端</t>
  </si>
  <si>
    <r>
      <rPr>
        <sz val="9"/>
        <color rgb="FF000000"/>
        <rFont val="Arial"/>
        <charset val="1"/>
      </rPr>
      <t xml:space="preserve">AI </t>
    </r>
    <r>
      <rPr>
        <sz val="9"/>
        <color rgb="FF000000"/>
        <rFont val="Noto Sans CJK SC"/>
        <charset val="134"/>
      </rPr>
      <t xml:space="preserve">助残员悬浮对话框 </t>
    </r>
    <r>
      <rPr>
        <sz val="9"/>
        <color rgb="FF000000"/>
        <rFont val="Arial"/>
        <charset val="1"/>
      </rPr>
      <t>UI</t>
    </r>
  </si>
  <si>
    <r>
      <rPr>
        <sz val="9"/>
        <color rgb="FF000000"/>
        <rFont val="Noto Sans CJK SC"/>
        <charset val="134"/>
      </rPr>
      <t xml:space="preserve">实现悬浮入口按钮 </t>
    </r>
    <r>
      <rPr>
        <sz val="9"/>
        <color rgb="FF000000"/>
        <rFont val="Arial"/>
        <charset val="1"/>
      </rPr>
      <t xml:space="preserve">+ </t>
    </r>
    <r>
      <rPr>
        <sz val="9"/>
        <color rgb="FF000000"/>
        <rFont val="Noto Sans CJK SC"/>
        <charset val="134"/>
      </rPr>
      <t xml:space="preserve">对话框 </t>
    </r>
    <r>
      <rPr>
        <sz val="9"/>
        <color rgb="FF000000"/>
        <rFont val="Arial"/>
        <charset val="1"/>
      </rPr>
      <t>UI</t>
    </r>
    <r>
      <rPr>
        <sz val="9"/>
        <color rgb="FF000000"/>
        <rFont val="Noto Sans CJK SC"/>
        <charset val="134"/>
      </rPr>
      <t>，支持历史消息滚动查看、快捷问题按钮展示、语音输入按钮，风格简洁温暖，适配无障碍色彩和字体要求</t>
    </r>
  </si>
  <si>
    <t>七、涉残政策中心</t>
  </si>
  <si>
    <t>政策管理</t>
  </si>
  <si>
    <r>
      <rPr>
        <sz val="9"/>
        <color rgb="FF000000"/>
        <rFont val="Noto Sans CJK SC"/>
        <charset val="134"/>
      </rPr>
      <t>政策录入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编辑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发布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下架</t>
    </r>
  </si>
  <si>
    <r>
      <rPr>
        <sz val="9"/>
        <color rgb="FF000000"/>
        <rFont val="Noto Sans CJK SC"/>
        <charset val="134"/>
      </rPr>
      <t>政府端和平台管理端均可录入政策（标题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编号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发布机关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日期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受益对象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类型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摘要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富文本正文</t>
    </r>
    <r>
      <rPr>
        <sz val="9"/>
        <color rgb="FF000000"/>
        <rFont val="Arial"/>
        <charset val="1"/>
      </rPr>
      <t>/PDF</t>
    </r>
    <r>
      <rPr>
        <sz val="9"/>
        <color rgb="FF000000"/>
        <rFont val="Noto Sans CJK SC"/>
        <charset val="134"/>
      </rPr>
      <t>附件），发布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下架操作，记录录入方标识</t>
    </r>
  </si>
  <si>
    <t>政策检索</t>
  </si>
  <si>
    <t>政策分类浏览与关键词全文检索</t>
  </si>
  <si>
    <r>
      <rPr>
        <sz val="9"/>
        <color rgb="FF000000"/>
        <rFont val="Noto Sans CJK SC"/>
        <charset val="134"/>
      </rPr>
      <t>政策按两大类（企业用工补贴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残疾人个人补贴）及细分类目展示，支持关键词全文检索，筛选受益对象（企业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个人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均适用）</t>
    </r>
  </si>
  <si>
    <t>政策前端</t>
  </si>
  <si>
    <r>
      <t>政策中心</t>
    </r>
    <r>
      <rPr>
        <sz val="9"/>
        <color rgb="FF000000"/>
        <rFont val="Noto Sans CJK SC"/>
        <charset val="134"/>
      </rPr>
      <t xml:space="preserve"> </t>
    </r>
    <r>
      <rPr>
        <sz val="9"/>
        <color rgb="FF000000"/>
        <rFont val="Arial"/>
        <charset val="134"/>
      </rPr>
      <t>PC</t>
    </r>
  </si>
  <si>
    <r>
      <t>政策列表页（分类筛选</t>
    </r>
    <r>
      <rPr>
        <sz val="9"/>
        <color rgb="FF000000"/>
        <rFont val="Arial"/>
        <charset val="134"/>
      </rPr>
      <t>+</t>
    </r>
    <r>
      <rPr>
        <sz val="9"/>
        <color rgb="FF000000"/>
        <rFont val="宋体"/>
        <charset val="134"/>
      </rPr>
      <t>关键词搜索）、政策详情页（正文</t>
    </r>
    <r>
      <rPr>
        <sz val="9"/>
        <color rgb="FF000000"/>
        <rFont val="Arial"/>
        <charset val="134"/>
      </rPr>
      <t>+</t>
    </r>
    <r>
      <rPr>
        <sz val="9"/>
        <color rgb="FF000000"/>
        <rFont val="宋体"/>
        <charset val="134"/>
      </rPr>
      <t>附件下载）</t>
    </r>
  </si>
  <si>
    <t>八、在线视频面试</t>
  </si>
  <si>
    <t>视频核心</t>
  </si>
  <si>
    <r>
      <rPr>
        <sz val="9"/>
        <color rgb="FF000000"/>
        <rFont val="Noto Sans CJK SC"/>
        <charset val="134"/>
      </rPr>
      <t xml:space="preserve">第三方 </t>
    </r>
    <r>
      <rPr>
        <sz val="9"/>
        <color rgb="FF000000"/>
        <rFont val="Arial"/>
        <charset val="1"/>
      </rPr>
      <t xml:space="preserve">RTC SDK </t>
    </r>
    <r>
      <rPr>
        <sz val="9"/>
        <color rgb="FF000000"/>
        <rFont val="Noto Sans CJK SC"/>
        <charset val="134"/>
      </rPr>
      <t>集成</t>
    </r>
  </si>
  <si>
    <r>
      <rPr>
        <sz val="9"/>
        <color rgb="FF000000"/>
        <rFont val="Noto Sans CJK SC"/>
        <charset val="134"/>
      </rPr>
      <t xml:space="preserve">集成腾讯云 </t>
    </r>
    <r>
      <rPr>
        <sz val="9"/>
        <color rgb="FF000000"/>
        <rFont val="Arial"/>
        <charset val="1"/>
      </rPr>
      <t xml:space="preserve">TRTC </t>
    </r>
    <r>
      <rPr>
        <sz val="9"/>
        <color rgb="FF000000"/>
        <rFont val="Noto Sans CJK SC"/>
        <charset val="134"/>
      </rPr>
      <t xml:space="preserve">或声网 </t>
    </r>
    <r>
      <rPr>
        <sz val="9"/>
        <color rgb="FF000000"/>
        <rFont val="Arial"/>
        <charset val="1"/>
      </rPr>
      <t>Agora SDK</t>
    </r>
    <r>
      <rPr>
        <sz val="9"/>
        <color rgb="FF000000"/>
        <rFont val="Noto Sans CJK SC"/>
        <charset val="134"/>
      </rPr>
      <t xml:space="preserve">，实现求职者与企业之间的在线视频面试通话，后端负责生成房间号和 </t>
    </r>
    <r>
      <rPr>
        <sz val="9"/>
        <color rgb="FF000000"/>
        <rFont val="Arial"/>
        <charset val="1"/>
      </rPr>
      <t>Token</t>
    </r>
    <r>
      <rPr>
        <sz val="9"/>
        <color rgb="FF000000"/>
        <rFont val="Noto Sans CJK SC"/>
        <charset val="134"/>
      </rPr>
      <t>，管理面试会话状态</t>
    </r>
  </si>
  <si>
    <t>面试管理</t>
  </si>
  <si>
    <t>面试记录与状态管理</t>
  </si>
  <si>
    <r>
      <rPr>
        <sz val="9"/>
        <color rgb="FF000000"/>
        <rFont val="Noto Sans CJK SC"/>
        <charset val="134"/>
      </rPr>
      <t>存储视频面试记录（发起方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接受方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发起时间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时长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状态），在双方消息中心展示面试历史，支持面试邀约发起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接受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拒绝流程</t>
    </r>
  </si>
  <si>
    <t>面试前端</t>
  </si>
  <si>
    <r>
      <rPr>
        <sz val="9"/>
        <color rgb="FF000000"/>
        <rFont val="Noto Sans CJK SC"/>
        <charset val="134"/>
      </rPr>
      <t xml:space="preserve">视频面试 </t>
    </r>
    <r>
      <rPr>
        <sz val="9"/>
        <color rgb="FF000000"/>
        <rFont val="Arial"/>
        <charset val="1"/>
      </rPr>
      <t xml:space="preserve">PC </t>
    </r>
    <r>
      <rPr>
        <sz val="9"/>
        <color rgb="FF000000"/>
        <rFont val="Noto Sans CJK SC"/>
        <charset val="134"/>
      </rPr>
      <t>页面</t>
    </r>
  </si>
  <si>
    <r>
      <rPr>
        <sz val="9"/>
        <color rgb="FF000000"/>
        <rFont val="Noto Sans CJK SC"/>
        <charset val="134"/>
      </rPr>
      <t>实现面试发起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等待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通话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结束全流程页面，包括摄像头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麦克风权限申请、双方画面展示、通话控制（静音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摄像头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挂断）</t>
    </r>
  </si>
  <si>
    <t>九、平台管理后台</t>
  </si>
  <si>
    <t>用户管理</t>
  </si>
  <si>
    <t>求职者与企业账号管理</t>
  </si>
  <si>
    <r>
      <rPr>
        <sz val="9"/>
        <color rgb="FF000000"/>
        <rFont val="Noto Sans CJK SC"/>
        <charset val="134"/>
      </rPr>
      <t>查看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搜索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冻结求职者和企业账号，支持账号状态管理（正常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冻结），操作记录日志</t>
    </r>
  </si>
  <si>
    <t>审核管理</t>
  </si>
  <si>
    <t>企业审核与认证费用确认</t>
  </si>
  <si>
    <r>
      <rPr>
        <sz val="9"/>
        <color rgb="FF000000"/>
        <rFont val="Noto Sans CJK SC"/>
        <charset val="134"/>
      </rPr>
      <t>审核企业营业执照（通过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拒绝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理由，短信通知企业）；收到认证付款后人工确认激活认证企业状态</t>
    </r>
  </si>
  <si>
    <t>内容管理</t>
  </si>
  <si>
    <t>岗位管理与违规下架</t>
  </si>
  <si>
    <t>查看全部岗位列表，支持手动下架违规岗位，记录操作日志</t>
  </si>
  <si>
    <t>账号管理</t>
  </si>
  <si>
    <t>政府端账号创建与管理</t>
  </si>
  <si>
    <r>
      <rPr>
        <sz val="9"/>
        <color rgb="FF000000"/>
        <rFont val="Noto Sans CJK SC"/>
        <charset val="134"/>
      </rPr>
      <t>创建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停用政府端用户账号，绑定机构名称（如：重庆市残疾人联合会），设置数据查看权限</t>
    </r>
  </si>
  <si>
    <t>系统公告</t>
  </si>
  <si>
    <t>全局公告发布与管理</t>
  </si>
  <si>
    <r>
      <rPr>
        <sz val="9"/>
        <color rgb="FF000000"/>
        <rFont val="Noto Sans CJK SC"/>
        <charset val="134"/>
      </rPr>
      <t>发布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编辑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下架系统公告，公告展示在各端首页顶部，支持设置展示时间范围</t>
    </r>
  </si>
  <si>
    <t>数据看板</t>
  </si>
  <si>
    <t>平台数据统计看板</t>
  </si>
  <si>
    <r>
      <rPr>
        <sz val="9"/>
        <color rgb="FF000000"/>
        <rFont val="Noto Sans CJK SC"/>
        <charset val="134"/>
      </rPr>
      <t>展示核心数据：注册用户数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在招岗位数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投递数</t>
    </r>
    <r>
      <rPr>
        <sz val="9"/>
        <color rgb="FF000000"/>
        <rFont val="Arial"/>
        <charset val="1"/>
      </rPr>
      <t>/AI</t>
    </r>
    <r>
      <rPr>
        <sz val="9"/>
        <color rgb="FF000000"/>
        <rFont val="Noto Sans CJK SC"/>
        <charset val="134"/>
      </rPr>
      <t>匹配成功数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助残员对话次数；新增用户趋势折线图；认证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非认证企业占比图</t>
    </r>
  </si>
  <si>
    <t>后台前端</t>
  </si>
  <si>
    <r>
      <rPr>
        <sz val="9"/>
        <color rgb="FF000000"/>
        <rFont val="Noto Sans CJK SC"/>
        <charset val="134"/>
      </rPr>
      <t xml:space="preserve">管理后台全部 </t>
    </r>
    <r>
      <rPr>
        <sz val="9"/>
        <color rgb="FF000000"/>
        <rFont val="Arial"/>
        <charset val="1"/>
      </rPr>
      <t xml:space="preserve">PC </t>
    </r>
    <r>
      <rPr>
        <sz val="9"/>
        <color rgb="FF000000"/>
        <rFont val="Noto Sans CJK SC"/>
        <charset val="134"/>
      </rPr>
      <t>页面</t>
    </r>
  </si>
  <si>
    <r>
      <rPr>
        <sz val="9"/>
        <color rgb="FF000000"/>
        <rFont val="Noto Sans CJK SC"/>
        <charset val="134"/>
      </rPr>
      <t>用户管理、企业审核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认证确认、岗位管理、政策管理、政府账号管理、数据统计看板、</t>
    </r>
    <r>
      <rPr>
        <sz val="9"/>
        <color rgb="FF000000"/>
        <rFont val="Arial"/>
        <charset val="1"/>
      </rPr>
      <t>AI</t>
    </r>
    <r>
      <rPr>
        <sz val="9"/>
        <color rgb="FF000000"/>
        <rFont val="Noto Sans CJK SC"/>
        <charset val="134"/>
      </rPr>
      <t>知识库管理、系统公告等全部后台页面</t>
    </r>
  </si>
  <si>
    <t>十、政府端</t>
  </si>
  <si>
    <t>信息查看</t>
  </si>
  <si>
    <t>残疾人信息查看（脱敏处理）</t>
  </si>
  <si>
    <r>
      <rPr>
        <sz val="9"/>
        <color rgb="FF000000"/>
        <rFont val="Noto Sans CJK SC"/>
        <charset val="134"/>
      </rPr>
      <t>政府用户查看求职者列表及简历详情；身份证号脱敏（</t>
    </r>
    <r>
      <rPr>
        <sz val="9"/>
        <color rgb="FF000000"/>
        <rFont val="Arial"/>
        <charset val="1"/>
      </rPr>
      <t>500***1234</t>
    </r>
    <r>
      <rPr>
        <sz val="9"/>
        <color rgb="FF000000"/>
        <rFont val="Noto Sans CJK SC"/>
        <charset val="134"/>
      </rPr>
      <t>）、手机号脱敏（</t>
    </r>
    <r>
      <rPr>
        <sz val="9"/>
        <color rgb="FF000000"/>
        <rFont val="Arial"/>
        <charset val="1"/>
      </rPr>
      <t>138****8888</t>
    </r>
    <r>
      <rPr>
        <sz val="9"/>
        <color rgb="FF000000"/>
        <rFont val="Noto Sans CJK SC"/>
        <charset val="134"/>
      </rPr>
      <t>）；不展示投递记录</t>
    </r>
  </si>
  <si>
    <t>数据大屏</t>
  </si>
  <si>
    <t>就业数据统计大屏</t>
  </si>
  <si>
    <r>
      <rPr>
        <sz val="9"/>
        <color rgb="FF000000"/>
        <rFont val="Noto Sans CJK SC"/>
        <charset val="134"/>
      </rPr>
      <t>可视化展示：累计注册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认证用户数、残疾类型分布饼图、残疾等级分布饼图、区县分布热力图、投递数、面试邀约数、新增趋势折线图、企业数量与行业分布柱状图</t>
    </r>
  </si>
  <si>
    <t>政府端政策发布管理</t>
  </si>
  <si>
    <r>
      <rPr>
        <sz val="9"/>
        <color rgb="FF000000"/>
        <rFont val="Noto Sans CJK SC"/>
        <charset val="134"/>
      </rPr>
      <t>政府用户新增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编辑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发布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下架政策，录入方标识自动标记为「政府端」</t>
    </r>
  </si>
  <si>
    <t>政府端前端</t>
  </si>
  <si>
    <r>
      <rPr>
        <sz val="9"/>
        <color rgb="FF000000"/>
        <rFont val="Noto Sans CJK SC"/>
        <charset val="134"/>
      </rPr>
      <t xml:space="preserve">政府端全部 </t>
    </r>
    <r>
      <rPr>
        <sz val="9"/>
        <color rgb="FF000000"/>
        <rFont val="Arial"/>
        <charset val="1"/>
      </rPr>
      <t xml:space="preserve">PC </t>
    </r>
    <r>
      <rPr>
        <sz val="9"/>
        <color rgb="FF000000"/>
        <rFont val="Noto Sans CJK SC"/>
        <charset val="134"/>
      </rPr>
      <t>页面</t>
    </r>
  </si>
  <si>
    <r>
      <rPr>
        <sz val="9"/>
        <color rgb="FF000000"/>
        <rFont val="Noto Sans CJK SC"/>
        <charset val="134"/>
      </rPr>
      <t>残疾人信息查看页（列表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详情）、就业数据大屏页、政策管理页、岗位数据只读查看页、认证企业信息只读查看页</t>
    </r>
  </si>
  <si>
    <r>
      <rPr>
        <b/>
        <sz val="10"/>
        <color rgb="FFFFFFFF"/>
        <rFont val="Noto Sans CJK SC"/>
        <charset val="134"/>
      </rPr>
      <t>十一、无障碍专项（</t>
    </r>
    <r>
      <rPr>
        <b/>
        <sz val="10"/>
        <color rgb="FFFFFFFF"/>
        <rFont val="Arial"/>
        <charset val="1"/>
      </rPr>
      <t xml:space="preserve">TTS </t>
    </r>
    <r>
      <rPr>
        <b/>
        <sz val="10"/>
        <color rgb="FFFFFFFF"/>
        <rFont val="Noto Sans CJK SC"/>
        <charset val="134"/>
      </rPr>
      <t>语音播报）</t>
    </r>
  </si>
  <si>
    <t>屏幕阅读</t>
  </si>
  <si>
    <t>屏幕阅读器全面兼容</t>
  </si>
  <si>
    <r>
      <rPr>
        <sz val="9"/>
        <color rgb="FF000000"/>
        <rFont val="Noto Sans CJK SC"/>
        <charset val="134"/>
      </rPr>
      <t>为所有页面可交互元素（按钮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链接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输入框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弹窗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 xml:space="preserve">表单错误提示）补全 </t>
    </r>
    <r>
      <rPr>
        <sz val="9"/>
        <color rgb="FF000000"/>
        <rFont val="Arial"/>
        <charset val="1"/>
      </rPr>
      <t>aria-label</t>
    </r>
    <r>
      <rPr>
        <sz val="9"/>
        <color rgb="FF000000"/>
        <rFont val="Noto Sans CJK SC"/>
        <charset val="134"/>
      </rPr>
      <t xml:space="preserve">，通过 </t>
    </r>
    <r>
      <rPr>
        <sz val="9"/>
        <color rgb="FF000000"/>
        <rFont val="Arial"/>
        <charset val="1"/>
      </rPr>
      <t xml:space="preserve">NVDA/VoiceOver </t>
    </r>
    <r>
      <rPr>
        <sz val="9"/>
        <color rgb="FF000000"/>
        <rFont val="Noto Sans CJK SC"/>
        <charset val="134"/>
      </rPr>
      <t>测试验证，确保屏幕阅读器正确朗读</t>
    </r>
  </si>
  <si>
    <t>十二、安全专项</t>
  </si>
  <si>
    <t>传输安全</t>
  </si>
  <si>
    <r>
      <rPr>
        <sz val="9"/>
        <color rgb="FF000000"/>
        <rFont val="Arial"/>
        <charset val="1"/>
      </rPr>
      <t xml:space="preserve">HTTPS </t>
    </r>
    <r>
      <rPr>
        <sz val="9"/>
        <color rgb="FF000000"/>
        <rFont val="Noto Sans CJK SC"/>
        <charset val="134"/>
      </rPr>
      <t xml:space="preserve">加密与 </t>
    </r>
    <r>
      <rPr>
        <sz val="9"/>
        <color rgb="FF000000"/>
        <rFont val="Arial"/>
        <charset val="1"/>
      </rPr>
      <t xml:space="preserve">JWT </t>
    </r>
    <r>
      <rPr>
        <sz val="9"/>
        <color rgb="FF000000"/>
        <rFont val="Noto Sans CJK SC"/>
        <charset val="134"/>
      </rPr>
      <t>认证</t>
    </r>
  </si>
  <si>
    <r>
      <rPr>
        <sz val="9"/>
        <color rgb="FF000000"/>
        <rFont val="Noto Sans CJK SC"/>
        <charset val="134"/>
      </rPr>
      <t xml:space="preserve">全站 </t>
    </r>
    <r>
      <rPr>
        <sz val="9"/>
        <color rgb="FF000000"/>
        <rFont val="Arial"/>
        <charset val="1"/>
      </rPr>
      <t xml:space="preserve">HTTPS </t>
    </r>
    <r>
      <rPr>
        <sz val="9"/>
        <color rgb="FF000000"/>
        <rFont val="Noto Sans CJK SC"/>
        <charset val="134"/>
      </rPr>
      <t>加密传输，</t>
    </r>
    <r>
      <rPr>
        <sz val="9"/>
        <color rgb="FF000000"/>
        <rFont val="Arial"/>
        <charset val="1"/>
      </rPr>
      <t xml:space="preserve">JWT Token </t>
    </r>
    <r>
      <rPr>
        <sz val="9"/>
        <color rgb="FF000000"/>
        <rFont val="Noto Sans CJK SC"/>
        <charset val="134"/>
      </rPr>
      <t>认证（设置合理有效期，退出后立即失效），登录失败</t>
    </r>
    <r>
      <rPr>
        <sz val="9"/>
        <color rgb="FF000000"/>
        <rFont val="Arial"/>
        <charset val="1"/>
      </rPr>
      <t>5</t>
    </r>
    <r>
      <rPr>
        <sz val="9"/>
        <color rgb="FF000000"/>
        <rFont val="Noto Sans CJK SC"/>
        <charset val="134"/>
      </rPr>
      <t>次触发图形验证码</t>
    </r>
  </si>
  <si>
    <t>数据安全</t>
  </si>
  <si>
    <t>密码加密与敏感数据脱敏</t>
  </si>
  <si>
    <r>
      <rPr>
        <sz val="9"/>
        <color rgb="FF000000"/>
        <rFont val="Noto Sans CJK SC"/>
        <charset val="134"/>
      </rPr>
      <t xml:space="preserve">密码 </t>
    </r>
    <r>
      <rPr>
        <sz val="9"/>
        <color rgb="FF000000"/>
        <rFont val="Arial"/>
        <charset val="1"/>
      </rPr>
      <t xml:space="preserve">bcrypt </t>
    </r>
    <r>
      <rPr>
        <sz val="9"/>
        <color rgb="FF000000"/>
        <rFont val="Noto Sans CJK SC"/>
        <charset val="134"/>
      </rPr>
      <t>算法加密存储，身份证号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手机号在所有页面展示时全局脱敏，腾讯云实名认证仅存认证状态</t>
    </r>
  </si>
  <si>
    <t>接口安全</t>
  </si>
  <si>
    <t>四类用户接口权限隔离</t>
  </si>
  <si>
    <r>
      <rPr>
        <sz val="9"/>
        <color rgb="FF000000"/>
        <rFont val="Noto Sans CJK SC"/>
        <charset val="134"/>
      </rPr>
      <t>四类用户（求职者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企业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管理员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政府）</t>
    </r>
    <r>
      <rPr>
        <sz val="9"/>
        <color rgb="FF000000"/>
        <rFont val="Arial"/>
        <charset val="1"/>
      </rPr>
      <t xml:space="preserve">API </t>
    </r>
    <r>
      <rPr>
        <sz val="9"/>
        <color rgb="FF000000"/>
        <rFont val="Noto Sans CJK SC"/>
        <charset val="134"/>
      </rPr>
      <t xml:space="preserve">路由完全隔离，每个接口验证调用方身份，严格防止越权访问，不同环境 </t>
    </r>
    <r>
      <rPr>
        <sz val="9"/>
        <color rgb="FF000000"/>
        <rFont val="Arial"/>
        <charset val="1"/>
      </rPr>
      <t xml:space="preserve">API Key </t>
    </r>
    <r>
      <rPr>
        <sz val="9"/>
        <color rgb="FF000000"/>
        <rFont val="Noto Sans CJK SC"/>
        <charset val="134"/>
      </rPr>
      <t>互相隔离</t>
    </r>
  </si>
  <si>
    <t>文件安全</t>
  </si>
  <si>
    <t>文件上传安全控制</t>
  </si>
  <si>
    <r>
      <rPr>
        <sz val="9"/>
        <color rgb="FF000000"/>
        <rFont val="Noto Sans CJK SC"/>
        <charset val="134"/>
      </rPr>
      <t>文件类型白名单（</t>
    </r>
    <r>
      <rPr>
        <sz val="9"/>
        <color rgb="FF000000"/>
        <rFont val="Arial"/>
        <charset val="1"/>
      </rPr>
      <t>jpg/png/pdf</t>
    </r>
    <r>
      <rPr>
        <sz val="9"/>
        <color rgb="FF000000"/>
        <rFont val="Noto Sans CJK SC"/>
        <charset val="134"/>
      </rPr>
      <t>），文件大小限制（图片≤</t>
    </r>
    <r>
      <rPr>
        <sz val="9"/>
        <color rgb="FF000000"/>
        <rFont val="Arial"/>
        <charset val="1"/>
      </rPr>
      <t>5MB/</t>
    </r>
    <r>
      <rPr>
        <sz val="9"/>
        <color rgb="FF000000"/>
        <rFont val="Noto Sans CJK SC"/>
        <charset val="134"/>
      </rPr>
      <t>营业执照≤</t>
    </r>
    <r>
      <rPr>
        <sz val="9"/>
        <color rgb="FF000000"/>
        <rFont val="Arial"/>
        <charset val="1"/>
      </rPr>
      <t>10MB</t>
    </r>
    <r>
      <rPr>
        <sz val="9"/>
        <color rgb="FF000000"/>
        <rFont val="Noto Sans CJK SC"/>
        <charset val="134"/>
      </rPr>
      <t>），上传文件随机重命名防路径猜测，</t>
    </r>
    <r>
      <rPr>
        <sz val="9"/>
        <color rgb="FF000000"/>
        <rFont val="Arial"/>
        <charset val="1"/>
      </rPr>
      <t xml:space="preserve">AI </t>
    </r>
    <r>
      <rPr>
        <sz val="9"/>
        <color rgb="FF000000"/>
        <rFont val="Noto Sans CJK SC"/>
        <charset val="134"/>
      </rPr>
      <t>接口密钥仅存服务端环境变量</t>
    </r>
  </si>
  <si>
    <r>
      <rPr>
        <b/>
        <sz val="10"/>
        <color rgb="FFFFFFFF"/>
        <rFont val="Noto Sans CJK SC"/>
        <charset val="134"/>
      </rPr>
      <t>十三、</t>
    </r>
    <r>
      <rPr>
        <b/>
        <sz val="10"/>
        <color rgb="FFFFFFFF"/>
        <rFont val="Arial"/>
        <charset val="1"/>
      </rPr>
      <t xml:space="preserve">UI </t>
    </r>
    <r>
      <rPr>
        <b/>
        <sz val="10"/>
        <color rgb="FFFFFFFF"/>
        <rFont val="Noto Sans CJK SC"/>
        <charset val="134"/>
      </rPr>
      <t>设计</t>
    </r>
  </si>
  <si>
    <r>
      <rPr>
        <sz val="9"/>
        <color rgb="FF000000"/>
        <rFont val="Arial"/>
        <charset val="1"/>
      </rPr>
      <t>UI</t>
    </r>
    <r>
      <rPr>
        <sz val="9"/>
        <color rgb="FF000000"/>
        <rFont val="Noto Sans CJK SC"/>
        <charset val="134"/>
      </rPr>
      <t>设计</t>
    </r>
  </si>
  <si>
    <t>整体视觉规范与组件设计</t>
  </si>
  <si>
    <r>
      <rPr>
        <sz val="9"/>
        <color rgb="FF000000"/>
        <rFont val="Noto Sans CJK SC"/>
        <charset val="134"/>
      </rPr>
      <t xml:space="preserve">制定平台整体 </t>
    </r>
    <r>
      <rPr>
        <sz val="9"/>
        <color rgb="FF000000"/>
        <rFont val="Arial"/>
        <charset val="1"/>
      </rPr>
      <t xml:space="preserve">UI </t>
    </r>
    <r>
      <rPr>
        <sz val="9"/>
        <color rgb="FF000000"/>
        <rFont val="Noto Sans CJK SC"/>
        <charset val="134"/>
      </rPr>
      <t>风格（色彩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字体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间距规范），设计通用组件库，制定无障碍高对比度色彩方案，出设计规范文档</t>
    </r>
  </si>
  <si>
    <t>设计</t>
  </si>
  <si>
    <t>求职端全页面设计</t>
  </si>
  <si>
    <r>
      <rPr>
        <sz val="9"/>
        <color rgb="FF000000"/>
        <rFont val="Noto Sans CJK SC"/>
        <charset val="134"/>
      </rPr>
      <t>注册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登录页、简历填写页（</t>
    </r>
    <r>
      <rPr>
        <sz val="9"/>
        <color rgb="FF000000"/>
        <rFont val="Arial"/>
        <charset val="1"/>
      </rPr>
      <t>7</t>
    </r>
    <r>
      <rPr>
        <sz val="9"/>
        <color rgb="FF000000"/>
        <rFont val="Noto Sans CJK SC"/>
        <charset val="134"/>
      </rPr>
      <t>模块）、岗位列表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详情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搜索页、投递流程页、「我的投递」页、消息中心页，</t>
    </r>
    <r>
      <rPr>
        <sz val="9"/>
        <color rgb="FF000000"/>
        <rFont val="Arial"/>
        <charset val="1"/>
      </rPr>
      <t>PC</t>
    </r>
    <r>
      <rPr>
        <sz val="9"/>
        <color rgb="FF000000"/>
        <rFont val="Noto Sans CJK SC"/>
        <charset val="134"/>
      </rPr>
      <t>端</t>
    </r>
    <r>
      <rPr>
        <sz val="9"/>
        <color rgb="FF000000"/>
        <rFont val="Arial"/>
        <charset val="1"/>
      </rPr>
      <t>+</t>
    </r>
    <r>
      <rPr>
        <sz val="9"/>
        <color rgb="FF000000"/>
        <rFont val="Noto Sans CJK SC"/>
        <charset val="134"/>
      </rPr>
      <t>小程序端设计稿</t>
    </r>
  </si>
  <si>
    <t>企业端全页面设计</t>
  </si>
  <si>
    <r>
      <rPr>
        <sz val="9"/>
        <color rgb="FF000000"/>
        <rFont val="Noto Sans CJK SC"/>
        <charset val="134"/>
      </rPr>
      <t>注册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认证页、岗位发布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管理页、人才搜索页、投递管理页、收藏夹页、消息中心页、认证升级页</t>
    </r>
  </si>
  <si>
    <r>
      <rPr>
        <sz val="9"/>
        <color rgb="FF000000"/>
        <rFont val="Arial"/>
        <charset val="1"/>
      </rPr>
      <t>AI</t>
    </r>
    <r>
      <rPr>
        <sz val="9"/>
        <color rgb="FF000000"/>
        <rFont val="Noto Sans CJK SC"/>
        <charset val="134"/>
      </rPr>
      <t xml:space="preserve">助残员对话框 </t>
    </r>
    <r>
      <rPr>
        <sz val="9"/>
        <color rgb="FF000000"/>
        <rFont val="Arial"/>
        <charset val="1"/>
      </rPr>
      <t xml:space="preserve">+ </t>
    </r>
    <r>
      <rPr>
        <sz val="9"/>
        <color rgb="FF000000"/>
        <rFont val="Noto Sans CJK SC"/>
        <charset val="134"/>
      </rPr>
      <t>政策中心设计</t>
    </r>
  </si>
  <si>
    <r>
      <rPr>
        <sz val="9"/>
        <color rgb="FF000000"/>
        <rFont val="Arial"/>
        <charset val="1"/>
      </rPr>
      <t>AI</t>
    </r>
    <r>
      <rPr>
        <sz val="9"/>
        <color rgb="FF000000"/>
        <rFont val="Noto Sans CJK SC"/>
        <charset val="134"/>
      </rPr>
      <t xml:space="preserve">助残员悬浮入口及对话框 </t>
    </r>
    <r>
      <rPr>
        <sz val="9"/>
        <color rgb="FF000000"/>
        <rFont val="Arial"/>
        <charset val="1"/>
      </rPr>
      <t xml:space="preserve">UI </t>
    </r>
    <r>
      <rPr>
        <sz val="9"/>
        <color rgb="FF000000"/>
        <rFont val="Noto Sans CJK SC"/>
        <charset val="134"/>
      </rPr>
      <t>设计（含快捷问题按钮样式）；政策中心列表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详情页设计</t>
    </r>
  </si>
  <si>
    <r>
      <rPr>
        <sz val="9"/>
        <color rgb="FF000000"/>
        <rFont val="Noto Sans CJK SC"/>
        <charset val="134"/>
      </rPr>
      <t xml:space="preserve">政府端数据大屏 </t>
    </r>
    <r>
      <rPr>
        <sz val="9"/>
        <color rgb="FF000000"/>
        <rFont val="Arial"/>
        <charset val="1"/>
      </rPr>
      <t xml:space="preserve">+ </t>
    </r>
    <r>
      <rPr>
        <sz val="9"/>
        <color rgb="FF000000"/>
        <rFont val="Noto Sans CJK SC"/>
        <charset val="134"/>
      </rPr>
      <t>管理后台设计</t>
    </r>
  </si>
  <si>
    <r>
      <rPr>
        <sz val="9"/>
        <color rgb="FF000000"/>
        <rFont val="Noto Sans CJK SC"/>
        <charset val="134"/>
      </rPr>
      <t>就业数据统计大屏可视化设计（图表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热力图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折线图样式规范）；平台管理后台各功能页面设计</t>
    </r>
  </si>
  <si>
    <t>视频面试页面设计</t>
  </si>
  <si>
    <r>
      <rPr>
        <sz val="9"/>
        <color rgb="FF000000"/>
        <rFont val="Noto Sans CJK SC"/>
        <charset val="134"/>
      </rPr>
      <t>在线视频面试页面设计（通话界面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控制按钮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等待状态）</t>
    </r>
  </si>
  <si>
    <t>十四、测试</t>
  </si>
  <si>
    <t>功能测试</t>
  </si>
  <si>
    <t>全流程功能回归测试</t>
  </si>
  <si>
    <r>
      <rPr>
        <sz val="9"/>
        <color rgb="FF000000"/>
        <rFont val="Noto Sans CJK SC"/>
        <charset val="134"/>
      </rPr>
      <t>按功能清单逐项验证：注册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实名认证、投递流程、</t>
    </r>
    <r>
      <rPr>
        <sz val="9"/>
        <color rgb="FF000000"/>
        <rFont val="Arial"/>
        <charset val="1"/>
      </rPr>
      <t>AI</t>
    </r>
    <r>
      <rPr>
        <sz val="9"/>
        <color rgb="FF000000"/>
        <rFont val="Noto Sans CJK SC"/>
        <charset val="134"/>
      </rPr>
      <t>匹配推荐、助残员对话、视频面试、企业审核、政府端数据展示等核心路径</t>
    </r>
  </si>
  <si>
    <t>测试</t>
  </si>
  <si>
    <t>无障碍测试</t>
  </si>
  <si>
    <t>无障碍专项功能测试</t>
  </si>
  <si>
    <r>
      <rPr>
        <sz val="9"/>
        <color rgb="FF000000"/>
        <rFont val="Noto Sans CJK SC"/>
        <charset val="134"/>
      </rPr>
      <t>验证高对比度模式、字体大小切换、键盘全操作、屏幕阅读器（</t>
    </r>
    <r>
      <rPr>
        <sz val="9"/>
        <color rgb="FF000000"/>
        <rFont val="Arial"/>
        <charset val="1"/>
      </rPr>
      <t>NVDA/VoiceOver</t>
    </r>
    <r>
      <rPr>
        <sz val="9"/>
        <color rgb="FF000000"/>
        <rFont val="Noto Sans CJK SC"/>
        <charset val="134"/>
      </rPr>
      <t>）、</t>
    </r>
    <r>
      <rPr>
        <sz val="9"/>
        <color rgb="FF000000"/>
        <rFont val="Arial"/>
        <charset val="1"/>
      </rPr>
      <t>TTS</t>
    </r>
    <r>
      <rPr>
        <sz val="9"/>
        <color rgb="FF000000"/>
        <rFont val="Noto Sans CJK SC"/>
        <charset val="134"/>
      </rPr>
      <t>语音播报、语音输入逐项功能是否正常</t>
    </r>
  </si>
  <si>
    <t>安全测试</t>
  </si>
  <si>
    <t>接口权限与安全扫描</t>
  </si>
  <si>
    <r>
      <rPr>
        <sz val="9"/>
        <color rgb="FF000000"/>
        <rFont val="Noto Sans CJK SC"/>
        <charset val="134"/>
      </rPr>
      <t>接口越权测试（四类用户）、文件上传漏洞测试、密码加密验证、</t>
    </r>
    <r>
      <rPr>
        <sz val="9"/>
        <color rgb="FF000000"/>
        <rFont val="Arial"/>
        <charset val="1"/>
      </rPr>
      <t>SQL</t>
    </r>
    <r>
      <rPr>
        <sz val="9"/>
        <color rgb="FF000000"/>
        <rFont val="Noto Sans CJK SC"/>
        <charset val="134"/>
      </rPr>
      <t>注入</t>
    </r>
    <r>
      <rPr>
        <sz val="9"/>
        <color rgb="FF000000"/>
        <rFont val="Arial"/>
        <charset val="1"/>
      </rPr>
      <t>/XSS</t>
    </r>
    <r>
      <rPr>
        <sz val="9"/>
        <color rgb="FF000000"/>
        <rFont val="Noto Sans CJK SC"/>
        <charset val="134"/>
      </rPr>
      <t>等基础安全扫描</t>
    </r>
  </si>
  <si>
    <t>十五、部署与项目管理</t>
  </si>
  <si>
    <t>部署上线</t>
  </si>
  <si>
    <t>服务器环境配置与正式部署</t>
  </si>
  <si>
    <r>
      <rPr>
        <sz val="9"/>
        <color rgb="FF000000"/>
        <rFont val="Noto Sans CJK SC"/>
        <charset val="134"/>
      </rPr>
      <t>支持腾讯云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阿里云</t>
    </r>
    <r>
      <rPr>
        <sz val="9"/>
        <color rgb="FF000000"/>
        <rFont val="Arial"/>
        <charset val="1"/>
      </rPr>
      <t>/</t>
    </r>
    <r>
      <rPr>
        <sz val="9"/>
        <color rgb="FF000000"/>
        <rFont val="Noto Sans CJK SC"/>
        <charset val="134"/>
      </rPr>
      <t>华为云部署（由客户选择），</t>
    </r>
    <r>
      <rPr>
        <sz val="9"/>
        <color rgb="FF000000"/>
        <rFont val="Arial"/>
        <charset val="1"/>
      </rPr>
      <t xml:space="preserve">Nginx </t>
    </r>
    <r>
      <rPr>
        <sz val="9"/>
        <color rgb="FF000000"/>
        <rFont val="Noto Sans CJK SC"/>
        <charset val="134"/>
      </rPr>
      <t>反向代理与负载均衡配置，</t>
    </r>
    <r>
      <rPr>
        <sz val="9"/>
        <color rgb="FF000000"/>
        <rFont val="Arial"/>
        <charset val="1"/>
      </rPr>
      <t xml:space="preserve">HTTPS </t>
    </r>
    <r>
      <rPr>
        <sz val="9"/>
        <color rgb="FF000000"/>
        <rFont val="Noto Sans CJK SC"/>
        <charset val="134"/>
      </rPr>
      <t>证书配置，</t>
    </r>
    <r>
      <rPr>
        <sz val="9"/>
        <color rgb="FF000000"/>
        <rFont val="Arial"/>
        <charset val="1"/>
      </rPr>
      <t xml:space="preserve">MySQL/Redis </t>
    </r>
    <r>
      <rPr>
        <sz val="9"/>
        <color rgb="FF000000"/>
        <rFont val="Noto Sans CJK SC"/>
        <charset val="134"/>
      </rPr>
      <t>生产环境配置，数据备份策略</t>
    </r>
  </si>
  <si>
    <t>部署</t>
  </si>
  <si>
    <t>运维文档</t>
  </si>
  <si>
    <t>部署与运维手册编写</t>
  </si>
  <si>
    <t>编写部署文档、运维手册、应急处理文档，确保系统后续可维护性</t>
  </si>
  <si>
    <t>项目管理</t>
  </si>
  <si>
    <t>全程项目管理与接口文档维护</t>
  </si>
  <si>
    <r>
      <rPr>
        <sz val="9"/>
        <color rgb="FF000000"/>
        <rFont val="Noto Sans CJK SC"/>
        <charset val="134"/>
      </rPr>
      <t>需求管理、</t>
    </r>
    <r>
      <rPr>
        <sz val="9"/>
        <color rgb="FF000000"/>
        <rFont val="Arial"/>
        <charset val="1"/>
      </rPr>
      <t xml:space="preserve">Swagger </t>
    </r>
    <r>
      <rPr>
        <sz val="9"/>
        <color rgb="FF000000"/>
        <rFont val="Noto Sans CJK SC"/>
        <charset val="134"/>
      </rPr>
      <t>接口文档持续维护、前后端联调协调、进度跟踪、版本发布管理、代码审查、风险控制</t>
    </r>
  </si>
  <si>
    <t>-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</si>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</sst>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Calibri"/>
      <charset val="1"/>
    </font>
    <font>
      <b/>
      <sz val="11"/>
      <color rgb="FF000000"/>
      <name val="Noto Sans CJK SC"/>
      <charset val="134"/>
    </font>
    <font>
      <b/>
      <sz val="10"/>
      <color rgb="FFFFFFFF"/>
      <name val="Noto Sans CJK SC"/>
      <charset val="134"/>
    </font>
    <font>
      <sz val="10"/>
      <color rgb="FF000000"/>
      <name val="Noto Sans CJK SC"/>
      <charset val="134"/>
    </font>
    <font>
      <sz val="10"/>
      <color rgb="FF000000"/>
      <name val="Arial"/>
      <charset val="1"/>
    </font>
    <font>
      <b/>
      <sz val="12"/>
      <color rgb="FF000000"/>
      <name val="Noto Sans CJK SC"/>
      <charset val="134"/>
    </font>
    <font>
      <b/>
      <sz val="10"/>
      <color rgb="FFFFFFFF"/>
      <name val="宋体"/>
      <charset val="134"/>
    </font>
    <font>
      <sz val="9"/>
      <color rgb="FF000000"/>
      <name val="Arial"/>
      <charset val="1"/>
    </font>
    <font>
      <sz val="9"/>
      <color rgb="FF000000"/>
      <name val="Noto Sans CJK SC"/>
      <charset val="134"/>
    </font>
    <font>
      <b/>
      <sz val="10"/>
      <color rgb="FF000000"/>
      <name val="Noto Sans CJK SC"/>
      <charset val="134"/>
    </font>
    <font>
      <b/>
      <sz val="10"/>
      <color rgb="FF000000"/>
      <name val="Arial"/>
      <charset val="1"/>
    </font>
    <font>
      <sz val="9"/>
      <color rgb="FF000000"/>
      <name val="宋体"/>
      <charset val="134"/>
    </font>
    <font>
      <b/>
      <sz val="12"/>
      <color rgb="FFFFFFFF"/>
      <name val="Noto Sans CJK SC"/>
      <charset val="134"/>
    </font>
    <font>
      <b/>
      <sz val="12"/>
      <color rgb="FFFFFF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FFFF"/>
      <name val="Arial"/>
      <charset val="1"/>
    </font>
    <font>
      <sz val="9"/>
      <color rgb="FF00000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  <fill>
      <patternFill patternType="solid">
        <fgColor rgb="FFFFFFFF"/>
        <bgColor rgb="FFFFF2CC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auto="1"/>
      </top>
      <bottom style="medium">
        <color auto="1"/>
      </bottom>
      <diagonal/>
    </border>
    <border>
      <left style="thin">
        <color rgb="FFAAAAAA"/>
      </left>
      <right/>
      <top style="medium">
        <color auto="1"/>
      </top>
      <bottom style="medium">
        <color auto="1"/>
      </bottom>
      <diagonal/>
    </border>
    <border>
      <left style="thin">
        <color rgb="FFAAAAAA"/>
      </left>
      <right style="thin">
        <color rgb="FFAAAAAA"/>
      </right>
      <top style="medium">
        <color rgb="FF888888"/>
      </top>
      <bottom style="medium">
        <color rgb="FF88888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rgb="FFAAAAAA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Border="0" applyAlignment="0" applyProtection="0"/>
    <xf numFmtId="44" fontId="14" fillId="0" borderId="0" applyBorder="0" applyAlignment="0" applyProtection="0"/>
    <xf numFmtId="9" fontId="14" fillId="0" borderId="0" applyBorder="0" applyAlignment="0" applyProtection="0"/>
    <xf numFmtId="41" fontId="14" fillId="0" borderId="0" applyBorder="0" applyAlignment="0" applyProtection="0"/>
    <xf numFmtId="42" fontId="14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9" borderId="10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0" borderId="0" xfId="0" applyFont="1"/>
    <xf numFmtId="0" fontId="2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0" fillId="6" borderId="4" xfId="0" applyFill="1" applyBorder="1"/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2CC"/>
      <rgbColor rgb="00DDEB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AAAAAA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10"/>
  <sheetViews>
    <sheetView tabSelected="1" workbookViewId="0">
      <pane ySplit="13" topLeftCell="A14" activePane="bottomLeft" state="frozen"/>
      <selection/>
      <selection pane="bottomLeft" activeCell="N18" sqref="N18"/>
    </sheetView>
  </sheetViews>
  <sheetFormatPr defaultColWidth="8.67619047619048" defaultRowHeight="15"/>
  <cols>
    <col min="1" max="1" width="16" customWidth="1"/>
    <col min="2" max="2" width="14" customWidth="1"/>
    <col min="3" max="3" width="40.1428571428571" customWidth="1"/>
    <col min="4" max="4" width="109" customWidth="1"/>
    <col min="5" max="5" width="8" customWidth="1"/>
    <col min="6" max="6" width="10" customWidth="1"/>
    <col min="7" max="7" width="16" customWidth="1"/>
    <col min="8" max="8" width="10" customWidth="1"/>
    <col min="9" max="9" width="12" customWidth="1"/>
  </cols>
  <sheetData>
    <row r="3" ht="21.75" customHeight="1" spans="1:9">
      <c r="A3" s="1" t="s">
        <v>0</v>
      </c>
    </row>
    <row r="4" ht="18" customHeight="1" spans="1:9">
      <c r="A4" s="2" t="s">
        <v>1</v>
      </c>
      <c r="B4" s="2" t="s">
        <v>2</v>
      </c>
      <c r="C4" s="2" t="s">
        <v>3</v>
      </c>
    </row>
    <row r="5" ht="18" customHeight="1" spans="1:9">
      <c r="A5" s="3" t="s">
        <v>4</v>
      </c>
      <c r="B5" s="4">
        <v>1300</v>
      </c>
      <c r="C5" s="5" t="s">
        <v>5</v>
      </c>
    </row>
    <row r="6" ht="18" customHeight="1" spans="1:9">
      <c r="A6" s="3" t="s">
        <v>6</v>
      </c>
      <c r="B6" s="4">
        <v>1500</v>
      </c>
      <c r="C6" s="5" t="s">
        <v>7</v>
      </c>
    </row>
    <row r="7" ht="18" customHeight="1" spans="1:9">
      <c r="A7" s="3" t="s">
        <v>8</v>
      </c>
      <c r="B7" s="4">
        <v>1500</v>
      </c>
      <c r="C7" s="5" t="s">
        <v>9</v>
      </c>
    </row>
    <row r="8" ht="18" customHeight="1" spans="1:9">
      <c r="A8" s="3" t="s">
        <v>10</v>
      </c>
      <c r="B8" s="4">
        <v>500</v>
      </c>
      <c r="C8" s="5" t="s">
        <v>11</v>
      </c>
    </row>
    <row r="9" ht="18" customHeight="1" spans="1:9">
      <c r="A9" s="3" t="s">
        <v>12</v>
      </c>
      <c r="B9" s="4">
        <v>600</v>
      </c>
      <c r="C9" s="5" t="s">
        <v>13</v>
      </c>
    </row>
    <row r="10" ht="7.5" customHeight="1"/>
    <row r="11" ht="21.75" customHeight="1" spans="1:9">
      <c r="A11" s="6" t="s">
        <v>14</v>
      </c>
    </row>
    <row r="12" ht="6" customHeight="1"/>
    <row r="13" ht="21.75" customHeight="1" spans="1:9">
      <c r="A13" s="7" t="s">
        <v>15</v>
      </c>
      <c r="B13" s="7" t="s">
        <v>16</v>
      </c>
      <c r="C13" s="7" t="s">
        <v>17</v>
      </c>
      <c r="D13" s="7" t="s">
        <v>18</v>
      </c>
      <c r="E13" s="7" t="s">
        <v>19</v>
      </c>
      <c r="F13" s="7" t="s">
        <v>20</v>
      </c>
      <c r="G13" s="7" t="s">
        <v>21</v>
      </c>
      <c r="H13" s="7" t="s">
        <v>22</v>
      </c>
      <c r="I13" s="7" t="s">
        <v>23</v>
      </c>
    </row>
    <row r="14" ht="18" customHeight="1" spans="1:9">
      <c r="A14" s="8" t="s">
        <v>24</v>
      </c>
      <c r="B14" s="9"/>
      <c r="C14" s="9"/>
      <c r="D14" s="9"/>
      <c r="E14" s="9"/>
      <c r="F14" s="9"/>
      <c r="G14" s="9"/>
      <c r="H14" s="9"/>
      <c r="I14" s="9"/>
    </row>
    <row r="15" ht="33.75" customHeight="1" spans="1:9">
      <c r="A15" s="10">
        <v>1</v>
      </c>
      <c r="B15" s="11" t="s">
        <v>25</v>
      </c>
      <c r="C15" s="12" t="s">
        <v>26</v>
      </c>
      <c r="D15" s="13" t="s">
        <v>27</v>
      </c>
      <c r="E15" s="14" t="s">
        <v>28</v>
      </c>
      <c r="F15" s="10">
        <v>3</v>
      </c>
      <c r="G15" s="11" t="s">
        <v>4</v>
      </c>
      <c r="H15" s="10">
        <f>B5</f>
        <v>1300</v>
      </c>
      <c r="I15" s="10">
        <f>F15*H15</f>
        <v>3900</v>
      </c>
    </row>
    <row r="16" ht="33.75" customHeight="1" spans="1:9">
      <c r="A16" s="15">
        <v>2</v>
      </c>
      <c r="B16" s="16" t="s">
        <v>25</v>
      </c>
      <c r="C16" s="16" t="s">
        <v>29</v>
      </c>
      <c r="D16" s="17" t="s">
        <v>30</v>
      </c>
      <c r="E16" s="18" t="s">
        <v>28</v>
      </c>
      <c r="F16" s="15">
        <v>3</v>
      </c>
      <c r="G16" s="16" t="s">
        <v>6</v>
      </c>
      <c r="H16" s="10">
        <f>B6</f>
        <v>1500</v>
      </c>
      <c r="I16" s="15">
        <f>F16*H16</f>
        <v>4500</v>
      </c>
    </row>
    <row r="17" ht="33.75" customHeight="1" spans="1:9">
      <c r="A17" s="10">
        <v>3</v>
      </c>
      <c r="B17" s="11" t="s">
        <v>31</v>
      </c>
      <c r="C17" s="11" t="s">
        <v>32</v>
      </c>
      <c r="D17" s="13" t="s">
        <v>33</v>
      </c>
      <c r="E17" s="14" t="s">
        <v>28</v>
      </c>
      <c r="F17" s="10">
        <v>3</v>
      </c>
      <c r="G17" s="11" t="s">
        <v>6</v>
      </c>
      <c r="H17" s="15">
        <f t="shared" ref="H17:H19" si="0">B6</f>
        <v>1500</v>
      </c>
      <c r="I17" s="10">
        <f>F17*H17</f>
        <v>4500</v>
      </c>
    </row>
    <row r="18" ht="33.75" customHeight="1" spans="1:9">
      <c r="A18" s="15">
        <v>4</v>
      </c>
      <c r="B18" s="16" t="s">
        <v>34</v>
      </c>
      <c r="C18" s="19" t="s">
        <v>35</v>
      </c>
      <c r="D18" s="20" t="s">
        <v>36</v>
      </c>
      <c r="E18" s="18" t="s">
        <v>28</v>
      </c>
      <c r="F18" s="15">
        <v>3</v>
      </c>
      <c r="G18" s="16" t="s">
        <v>8</v>
      </c>
      <c r="H18" s="15">
        <f t="shared" si="0"/>
        <v>1500</v>
      </c>
      <c r="I18" s="15">
        <f>F18*H18</f>
        <v>4500</v>
      </c>
    </row>
    <row r="19" ht="33.75" customHeight="1" spans="1:9">
      <c r="A19" s="10">
        <v>5</v>
      </c>
      <c r="B19" s="11" t="s">
        <v>34</v>
      </c>
      <c r="C19" s="11" t="s">
        <v>37</v>
      </c>
      <c r="D19" s="13" t="s">
        <v>38</v>
      </c>
      <c r="E19" s="14" t="s">
        <v>28</v>
      </c>
      <c r="F19" s="10">
        <v>3</v>
      </c>
      <c r="G19" s="11" t="s">
        <v>8</v>
      </c>
      <c r="H19" s="15">
        <f>B7</f>
        <v>1500</v>
      </c>
      <c r="I19" s="10">
        <f>F19*H19</f>
        <v>4500</v>
      </c>
    </row>
    <row r="20" ht="18" customHeight="1" spans="1:9">
      <c r="A20" s="21" t="s">
        <v>39</v>
      </c>
      <c r="B20" s="21"/>
      <c r="C20" s="21"/>
      <c r="D20" s="21"/>
      <c r="E20" s="21"/>
      <c r="F20" s="22">
        <f>SUM(F15:F19)</f>
        <v>15</v>
      </c>
      <c r="G20" s="23"/>
      <c r="H20" s="23"/>
      <c r="I20" s="22">
        <f>SUM(I15:I19)</f>
        <v>21900</v>
      </c>
    </row>
    <row r="21" ht="18" customHeight="1" spans="1:9">
      <c r="A21" s="9" t="s">
        <v>40</v>
      </c>
      <c r="B21" s="9"/>
      <c r="C21" s="9"/>
      <c r="D21" s="9"/>
      <c r="E21" s="9"/>
      <c r="F21" s="9"/>
      <c r="G21" s="9"/>
      <c r="H21" s="9"/>
      <c r="I21" s="9"/>
    </row>
    <row r="22" ht="33.75" customHeight="1" spans="1:9">
      <c r="A22" s="15">
        <v>6</v>
      </c>
      <c r="B22" s="16" t="s">
        <v>41</v>
      </c>
      <c r="C22" s="16" t="s">
        <v>42</v>
      </c>
      <c r="D22" s="17" t="s">
        <v>43</v>
      </c>
      <c r="E22" s="18" t="s">
        <v>28</v>
      </c>
      <c r="F22" s="15">
        <v>2</v>
      </c>
      <c r="G22" s="16" t="s">
        <v>6</v>
      </c>
      <c r="H22" s="15">
        <f>B6</f>
        <v>1500</v>
      </c>
      <c r="I22" s="15">
        <f>F22*H22</f>
        <v>3000</v>
      </c>
    </row>
    <row r="23" ht="33.75" customHeight="1" spans="1:9">
      <c r="A23" s="10">
        <v>7</v>
      </c>
      <c r="B23" s="11" t="s">
        <v>44</v>
      </c>
      <c r="C23" s="11" t="s">
        <v>45</v>
      </c>
      <c r="D23" s="13" t="s">
        <v>46</v>
      </c>
      <c r="E23" s="14" t="s">
        <v>28</v>
      </c>
      <c r="F23" s="10">
        <v>2</v>
      </c>
      <c r="G23" s="11" t="s">
        <v>6</v>
      </c>
      <c r="H23" s="15">
        <f>B6</f>
        <v>1500</v>
      </c>
      <c r="I23" s="10">
        <f>F23*H23</f>
        <v>3000</v>
      </c>
    </row>
    <row r="24" ht="33.75" customHeight="1" spans="1:9">
      <c r="A24" s="15">
        <v>8</v>
      </c>
      <c r="B24" s="16" t="s">
        <v>47</v>
      </c>
      <c r="C24" s="16" t="s">
        <v>48</v>
      </c>
      <c r="D24" s="17" t="s">
        <v>49</v>
      </c>
      <c r="E24" s="18" t="s">
        <v>28</v>
      </c>
      <c r="F24" s="15">
        <v>2</v>
      </c>
      <c r="G24" s="16" t="s">
        <v>6</v>
      </c>
      <c r="H24" s="15">
        <f>B6</f>
        <v>1500</v>
      </c>
      <c r="I24" s="15">
        <f>F24*H24</f>
        <v>3000</v>
      </c>
    </row>
    <row r="25" ht="33.75" customHeight="1" spans="1:9">
      <c r="A25" s="10">
        <v>9</v>
      </c>
      <c r="B25" s="11" t="s">
        <v>47</v>
      </c>
      <c r="C25" s="11" t="s">
        <v>50</v>
      </c>
      <c r="D25" s="13" t="s">
        <v>51</v>
      </c>
      <c r="E25" s="14" t="s">
        <v>28</v>
      </c>
      <c r="F25" s="10">
        <v>2</v>
      </c>
      <c r="G25" s="11" t="s">
        <v>6</v>
      </c>
      <c r="H25" s="15">
        <f>B6</f>
        <v>1500</v>
      </c>
      <c r="I25" s="10">
        <f>F25*H25</f>
        <v>3000</v>
      </c>
    </row>
    <row r="26" ht="33.75" customHeight="1" spans="1:9">
      <c r="A26" s="15">
        <v>10</v>
      </c>
      <c r="B26" s="16" t="s">
        <v>52</v>
      </c>
      <c r="C26" s="16" t="s">
        <v>53</v>
      </c>
      <c r="D26" s="17" t="s">
        <v>54</v>
      </c>
      <c r="E26" s="18" t="s">
        <v>28</v>
      </c>
      <c r="F26" s="15">
        <v>1</v>
      </c>
      <c r="G26" s="16" t="s">
        <v>6</v>
      </c>
      <c r="H26" s="15">
        <f>B6</f>
        <v>1500</v>
      </c>
      <c r="I26" s="15">
        <f>F26*H26</f>
        <v>1500</v>
      </c>
    </row>
    <row r="27" ht="18" customHeight="1" spans="1:9">
      <c r="A27" s="21" t="s">
        <v>39</v>
      </c>
      <c r="B27" s="21"/>
      <c r="C27" s="21"/>
      <c r="D27" s="21"/>
      <c r="E27" s="21"/>
      <c r="F27" s="22">
        <f>SUM(F22:F26)</f>
        <v>9</v>
      </c>
      <c r="G27" s="23"/>
      <c r="H27" s="23"/>
      <c r="I27" s="22">
        <f>SUM(I22:I26)</f>
        <v>13500</v>
      </c>
    </row>
    <row r="28" ht="18" customHeight="1" spans="1:9">
      <c r="A28" s="9" t="s">
        <v>55</v>
      </c>
      <c r="B28" s="9"/>
      <c r="C28" s="9"/>
      <c r="D28" s="9"/>
      <c r="E28" s="9"/>
      <c r="F28" s="9"/>
      <c r="G28" s="9"/>
      <c r="H28" s="9"/>
      <c r="I28" s="9"/>
    </row>
    <row r="29" ht="33.75" customHeight="1" spans="1:9">
      <c r="A29" s="10">
        <v>11</v>
      </c>
      <c r="B29" s="11" t="s">
        <v>56</v>
      </c>
      <c r="C29" s="11" t="s">
        <v>57</v>
      </c>
      <c r="D29" s="13" t="s">
        <v>58</v>
      </c>
      <c r="E29" s="14" t="s">
        <v>28</v>
      </c>
      <c r="F29" s="10">
        <v>2</v>
      </c>
      <c r="G29" s="11" t="s">
        <v>6</v>
      </c>
      <c r="H29" s="15">
        <f>B6</f>
        <v>1500</v>
      </c>
      <c r="I29" s="10">
        <f t="shared" ref="I29:I34" si="1">F29*H29</f>
        <v>3000</v>
      </c>
    </row>
    <row r="30" ht="33.75" customHeight="1" spans="1:9">
      <c r="A30" s="15">
        <v>12</v>
      </c>
      <c r="B30" s="16" t="s">
        <v>56</v>
      </c>
      <c r="C30" s="16" t="s">
        <v>59</v>
      </c>
      <c r="D30" s="17" t="s">
        <v>60</v>
      </c>
      <c r="E30" s="18" t="s">
        <v>28</v>
      </c>
      <c r="F30" s="15">
        <v>2</v>
      </c>
      <c r="G30" s="16" t="s">
        <v>6</v>
      </c>
      <c r="H30" s="15">
        <f>B6</f>
        <v>1500</v>
      </c>
      <c r="I30" s="15">
        <f t="shared" si="1"/>
        <v>3000</v>
      </c>
    </row>
    <row r="31" ht="33.75" customHeight="1" spans="1:9">
      <c r="A31" s="10">
        <v>13</v>
      </c>
      <c r="B31" s="11" t="s">
        <v>61</v>
      </c>
      <c r="C31" s="11" t="s">
        <v>62</v>
      </c>
      <c r="D31" s="13" t="s">
        <v>63</v>
      </c>
      <c r="E31" s="14" t="s">
        <v>28</v>
      </c>
      <c r="F31" s="10">
        <v>2</v>
      </c>
      <c r="G31" s="11" t="s">
        <v>6</v>
      </c>
      <c r="H31" s="15">
        <f>B6</f>
        <v>1500</v>
      </c>
      <c r="I31" s="10">
        <f t="shared" si="1"/>
        <v>3000</v>
      </c>
    </row>
    <row r="32" ht="33.75" customHeight="1" spans="1:9">
      <c r="A32" s="15">
        <v>14</v>
      </c>
      <c r="B32" s="16" t="s">
        <v>64</v>
      </c>
      <c r="C32" s="16" t="s">
        <v>65</v>
      </c>
      <c r="D32" s="17" t="s">
        <v>66</v>
      </c>
      <c r="E32" s="18" t="s">
        <v>28</v>
      </c>
      <c r="F32" s="15">
        <v>2</v>
      </c>
      <c r="G32" s="16" t="s">
        <v>6</v>
      </c>
      <c r="H32" s="15">
        <f>B6</f>
        <v>1500</v>
      </c>
      <c r="I32" s="15">
        <f t="shared" si="1"/>
        <v>3000</v>
      </c>
    </row>
    <row r="33" ht="33.75" customHeight="1" spans="1:9">
      <c r="A33" s="10">
        <v>15</v>
      </c>
      <c r="B33" s="11" t="s">
        <v>67</v>
      </c>
      <c r="C33" s="11" t="s">
        <v>68</v>
      </c>
      <c r="D33" s="13" t="s">
        <v>69</v>
      </c>
      <c r="E33" s="14" t="s">
        <v>28</v>
      </c>
      <c r="F33" s="10">
        <v>3</v>
      </c>
      <c r="G33" s="11" t="s">
        <v>6</v>
      </c>
      <c r="H33" s="15">
        <f>B6</f>
        <v>1500</v>
      </c>
      <c r="I33" s="10">
        <f t="shared" si="1"/>
        <v>4500</v>
      </c>
    </row>
    <row r="34" ht="33.75" customHeight="1" spans="1:9">
      <c r="A34" s="15">
        <v>16</v>
      </c>
      <c r="B34" s="16" t="s">
        <v>70</v>
      </c>
      <c r="C34" s="16" t="s">
        <v>71</v>
      </c>
      <c r="D34" s="17" t="s">
        <v>72</v>
      </c>
      <c r="E34" s="18" t="s">
        <v>28</v>
      </c>
      <c r="F34" s="15">
        <v>10</v>
      </c>
      <c r="G34" s="16" t="s">
        <v>8</v>
      </c>
      <c r="H34" s="15">
        <f>B7</f>
        <v>1500</v>
      </c>
      <c r="I34" s="15">
        <f t="shared" si="1"/>
        <v>15000</v>
      </c>
    </row>
    <row r="35" ht="18" customHeight="1" spans="1:9">
      <c r="A35" s="21" t="s">
        <v>39</v>
      </c>
      <c r="B35" s="21"/>
      <c r="C35" s="21"/>
      <c r="D35" s="21"/>
      <c r="E35" s="21"/>
      <c r="F35" s="22">
        <f>SUM(F29:F34)</f>
        <v>21</v>
      </c>
      <c r="G35" s="23"/>
      <c r="H35" s="23"/>
      <c r="I35" s="22">
        <f>SUM(I29:I34)</f>
        <v>31500</v>
      </c>
    </row>
    <row r="36" ht="18" customHeight="1" spans="1:9">
      <c r="A36" s="9" t="s">
        <v>73</v>
      </c>
      <c r="B36" s="9"/>
      <c r="C36" s="9"/>
      <c r="D36" s="9"/>
      <c r="E36" s="9"/>
      <c r="F36" s="9"/>
      <c r="G36" s="9"/>
      <c r="H36" s="9"/>
      <c r="I36" s="9"/>
    </row>
    <row r="37" ht="33.75" customHeight="1" spans="1:9">
      <c r="A37" s="10">
        <v>17</v>
      </c>
      <c r="B37" s="11" t="s">
        <v>74</v>
      </c>
      <c r="C37" s="11" t="s">
        <v>75</v>
      </c>
      <c r="D37" s="13" t="s">
        <v>76</v>
      </c>
      <c r="E37" s="14" t="s">
        <v>28</v>
      </c>
      <c r="F37" s="10">
        <v>1</v>
      </c>
      <c r="G37" s="11" t="s">
        <v>6</v>
      </c>
      <c r="H37" s="15">
        <f>B6</f>
        <v>1500</v>
      </c>
      <c r="I37" s="10">
        <f t="shared" ref="I37:I42" si="2">F37*H37</f>
        <v>1500</v>
      </c>
    </row>
    <row r="38" ht="33.75" customHeight="1" spans="1:9">
      <c r="A38" s="15">
        <v>18</v>
      </c>
      <c r="B38" s="16" t="s">
        <v>77</v>
      </c>
      <c r="C38" s="16" t="s">
        <v>78</v>
      </c>
      <c r="D38" s="17" t="s">
        <v>79</v>
      </c>
      <c r="E38" s="18" t="s">
        <v>28</v>
      </c>
      <c r="F38" s="15">
        <v>1</v>
      </c>
      <c r="G38" s="16" t="s">
        <v>6</v>
      </c>
      <c r="H38" s="15">
        <f>B6</f>
        <v>1500</v>
      </c>
      <c r="I38" s="15">
        <f t="shared" si="2"/>
        <v>1500</v>
      </c>
    </row>
    <row r="39" ht="33.75" customHeight="1" spans="1:9">
      <c r="A39" s="10">
        <v>19</v>
      </c>
      <c r="B39" s="11" t="s">
        <v>80</v>
      </c>
      <c r="C39" s="11" t="s">
        <v>81</v>
      </c>
      <c r="D39" s="13" t="s">
        <v>82</v>
      </c>
      <c r="E39" s="14" t="s">
        <v>28</v>
      </c>
      <c r="F39" s="10">
        <v>1</v>
      </c>
      <c r="G39" s="11" t="s">
        <v>6</v>
      </c>
      <c r="H39" s="15">
        <f>B6</f>
        <v>1500</v>
      </c>
      <c r="I39" s="10">
        <f t="shared" si="2"/>
        <v>1500</v>
      </c>
    </row>
    <row r="40" ht="33.75" customHeight="1" spans="1:9">
      <c r="A40" s="15">
        <v>20</v>
      </c>
      <c r="B40" s="16" t="s">
        <v>83</v>
      </c>
      <c r="C40" s="16" t="s">
        <v>84</v>
      </c>
      <c r="D40" s="17" t="s">
        <v>85</v>
      </c>
      <c r="E40" s="18" t="s">
        <v>28</v>
      </c>
      <c r="F40" s="15">
        <v>1</v>
      </c>
      <c r="G40" s="16" t="s">
        <v>6</v>
      </c>
      <c r="H40" s="15">
        <f>B6</f>
        <v>1500</v>
      </c>
      <c r="I40" s="15">
        <f t="shared" si="2"/>
        <v>1500</v>
      </c>
    </row>
    <row r="41" ht="33.75" customHeight="1" spans="1:9">
      <c r="A41" s="10">
        <v>21</v>
      </c>
      <c r="B41" s="11" t="s">
        <v>67</v>
      </c>
      <c r="C41" s="11" t="s">
        <v>86</v>
      </c>
      <c r="D41" s="13" t="s">
        <v>87</v>
      </c>
      <c r="E41" s="14" t="s">
        <v>28</v>
      </c>
      <c r="F41" s="10">
        <v>1</v>
      </c>
      <c r="G41" s="11" t="s">
        <v>6</v>
      </c>
      <c r="H41" s="15">
        <f>B6</f>
        <v>1500</v>
      </c>
      <c r="I41" s="10">
        <f t="shared" si="2"/>
        <v>1500</v>
      </c>
    </row>
    <row r="42" ht="33.75" customHeight="1" spans="1:9">
      <c r="A42" s="15">
        <v>22</v>
      </c>
      <c r="B42" s="16" t="s">
        <v>88</v>
      </c>
      <c r="C42" s="16" t="s">
        <v>89</v>
      </c>
      <c r="D42" s="17" t="s">
        <v>90</v>
      </c>
      <c r="E42" s="18" t="s">
        <v>28</v>
      </c>
      <c r="F42" s="15">
        <v>10</v>
      </c>
      <c r="G42" s="16" t="s">
        <v>8</v>
      </c>
      <c r="H42" s="15">
        <f>B7</f>
        <v>1500</v>
      </c>
      <c r="I42" s="15">
        <f t="shared" si="2"/>
        <v>15000</v>
      </c>
    </row>
    <row r="43" ht="18" customHeight="1" spans="1:9">
      <c r="A43" s="21" t="s">
        <v>39</v>
      </c>
      <c r="B43" s="21"/>
      <c r="C43" s="21"/>
      <c r="D43" s="21"/>
      <c r="E43" s="21"/>
      <c r="F43" s="22">
        <f>SUM(F37:F42)</f>
        <v>15</v>
      </c>
      <c r="G43" s="23"/>
      <c r="H43" s="23"/>
      <c r="I43" s="22">
        <f>SUM(I37:I42)</f>
        <v>22500</v>
      </c>
    </row>
    <row r="44" ht="18" customHeight="1" spans="1:9">
      <c r="A44" s="9" t="s">
        <v>91</v>
      </c>
      <c r="B44" s="9"/>
      <c r="C44" s="9"/>
      <c r="D44" s="9"/>
      <c r="E44" s="9"/>
      <c r="F44" s="9"/>
      <c r="G44" s="9"/>
      <c r="H44" s="9"/>
      <c r="I44" s="9"/>
    </row>
    <row r="45" ht="33.75" customHeight="1" spans="1:9">
      <c r="A45" s="10">
        <v>23</v>
      </c>
      <c r="B45" s="11" t="s">
        <v>92</v>
      </c>
      <c r="C45" s="11" t="s">
        <v>93</v>
      </c>
      <c r="D45" s="13" t="s">
        <v>94</v>
      </c>
      <c r="E45" s="14" t="s">
        <v>28</v>
      </c>
      <c r="F45" s="10">
        <v>5</v>
      </c>
      <c r="G45" s="11" t="s">
        <v>6</v>
      </c>
      <c r="H45" s="15">
        <f>B6</f>
        <v>1500</v>
      </c>
      <c r="I45" s="10">
        <f>F45*H45</f>
        <v>7500</v>
      </c>
    </row>
    <row r="46" ht="33.75" customHeight="1" spans="1:9">
      <c r="A46" s="15">
        <v>24</v>
      </c>
      <c r="B46" s="16" t="s">
        <v>95</v>
      </c>
      <c r="C46" s="16" t="s">
        <v>96</v>
      </c>
      <c r="D46" s="17" t="s">
        <v>97</v>
      </c>
      <c r="E46" s="18" t="s">
        <v>28</v>
      </c>
      <c r="F46" s="15">
        <v>5</v>
      </c>
      <c r="G46" s="16" t="s">
        <v>6</v>
      </c>
      <c r="H46" s="15">
        <f>B6</f>
        <v>1500</v>
      </c>
      <c r="I46" s="15">
        <f>F46*H46</f>
        <v>7500</v>
      </c>
    </row>
    <row r="47" ht="33.75" customHeight="1" spans="1:9">
      <c r="A47" s="10">
        <v>25</v>
      </c>
      <c r="B47" s="12" t="s">
        <v>98</v>
      </c>
      <c r="C47" s="12" t="s">
        <v>99</v>
      </c>
      <c r="D47" s="13" t="s">
        <v>100</v>
      </c>
      <c r="E47" s="14" t="s">
        <v>28</v>
      </c>
      <c r="F47" s="10">
        <v>5</v>
      </c>
      <c r="G47" s="11" t="s">
        <v>6</v>
      </c>
      <c r="H47" s="15">
        <f>B6</f>
        <v>1500</v>
      </c>
      <c r="I47" s="10">
        <f>F47*H47</f>
        <v>7500</v>
      </c>
    </row>
    <row r="48" ht="33.75" customHeight="1" spans="1:9">
      <c r="A48" s="15">
        <v>26</v>
      </c>
      <c r="B48" s="16" t="s">
        <v>101</v>
      </c>
      <c r="C48" s="16" t="s">
        <v>102</v>
      </c>
      <c r="D48" s="17" t="s">
        <v>103</v>
      </c>
      <c r="E48" s="18" t="s">
        <v>28</v>
      </c>
      <c r="F48" s="15">
        <v>5</v>
      </c>
      <c r="G48" s="16" t="s">
        <v>6</v>
      </c>
      <c r="H48" s="15">
        <f>B6</f>
        <v>1500</v>
      </c>
      <c r="I48" s="15">
        <f>F48*H48</f>
        <v>7500</v>
      </c>
    </row>
    <row r="49" ht="33.75" customHeight="1" spans="1:9">
      <c r="A49" s="10">
        <v>27</v>
      </c>
      <c r="B49" s="11" t="s">
        <v>104</v>
      </c>
      <c r="C49" s="11" t="s">
        <v>105</v>
      </c>
      <c r="D49" s="13" t="s">
        <v>106</v>
      </c>
      <c r="E49" s="14" t="s">
        <v>28</v>
      </c>
      <c r="F49" s="10">
        <v>3</v>
      </c>
      <c r="G49" s="11" t="s">
        <v>6</v>
      </c>
      <c r="H49" s="15">
        <f>B6</f>
        <v>1500</v>
      </c>
      <c r="I49" s="10">
        <f>F49*H49</f>
        <v>4500</v>
      </c>
    </row>
    <row r="50" ht="18" customHeight="1" spans="1:9">
      <c r="A50" s="21" t="s">
        <v>39</v>
      </c>
      <c r="B50" s="21"/>
      <c r="C50" s="21"/>
      <c r="D50" s="21"/>
      <c r="E50" s="21"/>
      <c r="F50" s="22">
        <f>SUM(F45:F49)</f>
        <v>23</v>
      </c>
      <c r="G50" s="23"/>
      <c r="H50" s="23"/>
      <c r="I50" s="22">
        <f>SUM(I45:I49)</f>
        <v>34500</v>
      </c>
    </row>
    <row r="51" ht="18" customHeight="1" spans="1:9">
      <c r="A51" s="9" t="s">
        <v>107</v>
      </c>
      <c r="B51" s="9"/>
      <c r="C51" s="9"/>
      <c r="D51" s="9"/>
      <c r="E51" s="9"/>
      <c r="F51" s="9"/>
      <c r="G51" s="9"/>
      <c r="H51" s="9"/>
      <c r="I51" s="9"/>
    </row>
    <row r="52" ht="33.75" customHeight="1" spans="1:9">
      <c r="A52" s="15">
        <v>28</v>
      </c>
      <c r="B52" s="16" t="s">
        <v>108</v>
      </c>
      <c r="C52" s="16" t="s">
        <v>109</v>
      </c>
      <c r="D52" s="17" t="s">
        <v>110</v>
      </c>
      <c r="E52" s="18" t="s">
        <v>28</v>
      </c>
      <c r="F52" s="15">
        <v>5</v>
      </c>
      <c r="G52" s="16" t="s">
        <v>6</v>
      </c>
      <c r="H52" s="15">
        <f>B6</f>
        <v>1500</v>
      </c>
      <c r="I52" s="15">
        <f>F52*H52</f>
        <v>7500</v>
      </c>
    </row>
    <row r="53" ht="33.75" customHeight="1" spans="1:9">
      <c r="A53" s="10">
        <v>29</v>
      </c>
      <c r="B53" s="11" t="s">
        <v>111</v>
      </c>
      <c r="C53" s="11" t="s">
        <v>112</v>
      </c>
      <c r="D53" s="13" t="s">
        <v>113</v>
      </c>
      <c r="E53" s="14" t="s">
        <v>28</v>
      </c>
      <c r="F53" s="10">
        <v>5</v>
      </c>
      <c r="G53" s="11" t="s">
        <v>6</v>
      </c>
      <c r="H53" s="15">
        <f>B6</f>
        <v>1500</v>
      </c>
      <c r="I53" s="10">
        <f>F53*H53</f>
        <v>7500</v>
      </c>
    </row>
    <row r="54" ht="33.75" customHeight="1" spans="1:9">
      <c r="A54" s="15">
        <v>30</v>
      </c>
      <c r="B54" s="16" t="s">
        <v>114</v>
      </c>
      <c r="C54" s="16" t="s">
        <v>115</v>
      </c>
      <c r="D54" s="17" t="s">
        <v>116</v>
      </c>
      <c r="E54" s="18" t="s">
        <v>28</v>
      </c>
      <c r="F54" s="15">
        <v>5</v>
      </c>
      <c r="G54" s="16" t="s">
        <v>6</v>
      </c>
      <c r="H54" s="15">
        <f>B6</f>
        <v>1500</v>
      </c>
      <c r="I54" s="15">
        <f>F54*H54</f>
        <v>7500</v>
      </c>
    </row>
    <row r="55" ht="33.75" customHeight="1" spans="1:9">
      <c r="A55" s="15">
        <v>32</v>
      </c>
      <c r="B55" s="16" t="s">
        <v>117</v>
      </c>
      <c r="C55" s="16" t="s">
        <v>118</v>
      </c>
      <c r="D55" s="17" t="s">
        <v>119</v>
      </c>
      <c r="E55" s="18" t="s">
        <v>28</v>
      </c>
      <c r="F55" s="15">
        <v>5</v>
      </c>
      <c r="G55" s="16" t="s">
        <v>6</v>
      </c>
      <c r="H55" s="15">
        <f>B6</f>
        <v>1500</v>
      </c>
      <c r="I55" s="15">
        <f>F55*H55</f>
        <v>7500</v>
      </c>
    </row>
    <row r="56" ht="33.75" customHeight="1" spans="1:9">
      <c r="A56" s="10">
        <v>33</v>
      </c>
      <c r="B56" s="11" t="s">
        <v>120</v>
      </c>
      <c r="C56" s="12" t="s">
        <v>121</v>
      </c>
      <c r="D56" s="13" t="s">
        <v>122</v>
      </c>
      <c r="E56" s="14" t="s">
        <v>28</v>
      </c>
      <c r="F56" s="10">
        <v>5</v>
      </c>
      <c r="G56" s="11" t="s">
        <v>8</v>
      </c>
      <c r="H56" s="15">
        <f>B7</f>
        <v>1500</v>
      </c>
      <c r="I56" s="10">
        <f>F56*H56</f>
        <v>7500</v>
      </c>
    </row>
    <row r="57" ht="18" customHeight="1" spans="1:9">
      <c r="A57" s="21" t="s">
        <v>39</v>
      </c>
      <c r="B57" s="21"/>
      <c r="C57" s="21"/>
      <c r="D57" s="21"/>
      <c r="E57" s="21"/>
      <c r="F57" s="22">
        <f>SUM(F52:F56)</f>
        <v>25</v>
      </c>
      <c r="G57" s="23"/>
      <c r="H57" s="23"/>
      <c r="I57" s="22">
        <f>SUM(I52:I56)</f>
        <v>37500</v>
      </c>
    </row>
    <row r="58" ht="18" customHeight="1" spans="1:9">
      <c r="A58" s="9" t="s">
        <v>123</v>
      </c>
      <c r="B58" s="9"/>
      <c r="C58" s="9"/>
      <c r="D58" s="9"/>
      <c r="E58" s="9"/>
      <c r="F58" s="9"/>
      <c r="G58" s="9"/>
      <c r="H58" s="9"/>
      <c r="I58" s="9"/>
    </row>
    <row r="59" ht="33.75" customHeight="1" spans="1:9">
      <c r="A59" s="15">
        <v>34</v>
      </c>
      <c r="B59" s="16" t="s">
        <v>124</v>
      </c>
      <c r="C59" s="16" t="s">
        <v>125</v>
      </c>
      <c r="D59" s="17" t="s">
        <v>126</v>
      </c>
      <c r="E59" s="18" t="s">
        <v>28</v>
      </c>
      <c r="F59" s="15">
        <v>2</v>
      </c>
      <c r="G59" s="16" t="s">
        <v>6</v>
      </c>
      <c r="H59" s="15">
        <f>B6</f>
        <v>1500</v>
      </c>
      <c r="I59" s="15">
        <f>F59*H59</f>
        <v>3000</v>
      </c>
    </row>
    <row r="60" ht="33.75" customHeight="1" spans="1:9">
      <c r="A60" s="10">
        <v>35</v>
      </c>
      <c r="B60" s="11" t="s">
        <v>127</v>
      </c>
      <c r="C60" s="11" t="s">
        <v>128</v>
      </c>
      <c r="D60" s="13" t="s">
        <v>129</v>
      </c>
      <c r="E60" s="14" t="s">
        <v>28</v>
      </c>
      <c r="F60" s="10">
        <v>2</v>
      </c>
      <c r="G60" s="11" t="s">
        <v>6</v>
      </c>
      <c r="H60" s="15">
        <f>B6</f>
        <v>1500</v>
      </c>
      <c r="I60" s="10">
        <f>F60*H60</f>
        <v>3000</v>
      </c>
    </row>
    <row r="61" ht="33.75" customHeight="1" spans="1:9">
      <c r="A61" s="15">
        <v>36</v>
      </c>
      <c r="B61" s="16" t="s">
        <v>130</v>
      </c>
      <c r="C61" s="24" t="s">
        <v>131</v>
      </c>
      <c r="D61" s="25" t="s">
        <v>132</v>
      </c>
      <c r="E61" s="18" t="s">
        <v>28</v>
      </c>
      <c r="F61" s="15">
        <v>5</v>
      </c>
      <c r="G61" s="16" t="s">
        <v>8</v>
      </c>
      <c r="H61" s="15">
        <f>B7</f>
        <v>1500</v>
      </c>
      <c r="I61" s="15">
        <f>F61*H61</f>
        <v>7500</v>
      </c>
    </row>
    <row r="62" ht="18" customHeight="1" spans="1:9">
      <c r="A62" s="21" t="s">
        <v>39</v>
      </c>
      <c r="B62" s="21"/>
      <c r="C62" s="21"/>
      <c r="D62" s="21"/>
      <c r="E62" s="21"/>
      <c r="F62" s="22">
        <f>SUM(F59:F61)</f>
        <v>9</v>
      </c>
      <c r="G62" s="23"/>
      <c r="H62" s="23"/>
      <c r="I62" s="22">
        <f>SUM(I59:I61)</f>
        <v>13500</v>
      </c>
    </row>
    <row r="63" ht="18" customHeight="1" spans="1:9">
      <c r="A63" s="9" t="s">
        <v>133</v>
      </c>
      <c r="B63" s="9"/>
      <c r="C63" s="9"/>
      <c r="D63" s="9"/>
      <c r="E63" s="9"/>
      <c r="F63" s="9"/>
      <c r="G63" s="9"/>
      <c r="H63" s="9"/>
      <c r="I63" s="9"/>
    </row>
    <row r="64" ht="33.75" customHeight="1" spans="1:9">
      <c r="A64" s="10">
        <v>37</v>
      </c>
      <c r="B64" s="11" t="s">
        <v>134</v>
      </c>
      <c r="C64" s="11" t="s">
        <v>135</v>
      </c>
      <c r="D64" s="13" t="s">
        <v>136</v>
      </c>
      <c r="E64" s="14" t="s">
        <v>28</v>
      </c>
      <c r="F64" s="10">
        <v>2</v>
      </c>
      <c r="G64" s="11" t="s">
        <v>6</v>
      </c>
      <c r="H64" s="15">
        <f>B6</f>
        <v>1500</v>
      </c>
      <c r="I64" s="10">
        <f>F64*H64</f>
        <v>3000</v>
      </c>
    </row>
    <row r="65" ht="33.75" customHeight="1" spans="1:9">
      <c r="A65" s="15">
        <v>38</v>
      </c>
      <c r="B65" s="16" t="s">
        <v>137</v>
      </c>
      <c r="C65" s="16" t="s">
        <v>138</v>
      </c>
      <c r="D65" s="17" t="s">
        <v>139</v>
      </c>
      <c r="E65" s="18" t="s">
        <v>28</v>
      </c>
      <c r="F65" s="15">
        <v>2</v>
      </c>
      <c r="G65" s="16" t="s">
        <v>6</v>
      </c>
      <c r="H65" s="15">
        <f>B6</f>
        <v>1500</v>
      </c>
      <c r="I65" s="15">
        <f>F65*H65</f>
        <v>3000</v>
      </c>
    </row>
    <row r="66" ht="33.75" customHeight="1" spans="1:9">
      <c r="A66" s="10">
        <v>39</v>
      </c>
      <c r="B66" s="11" t="s">
        <v>140</v>
      </c>
      <c r="C66" s="11" t="s">
        <v>141</v>
      </c>
      <c r="D66" s="13" t="s">
        <v>142</v>
      </c>
      <c r="E66" s="14" t="s">
        <v>28</v>
      </c>
      <c r="F66" s="10">
        <v>5</v>
      </c>
      <c r="G66" s="11" t="s">
        <v>8</v>
      </c>
      <c r="H66" s="15">
        <f>B7</f>
        <v>1500</v>
      </c>
      <c r="I66" s="10">
        <f>F66*H66</f>
        <v>7500</v>
      </c>
    </row>
    <row r="67" ht="18" customHeight="1" spans="1:9">
      <c r="A67" s="21" t="s">
        <v>39</v>
      </c>
      <c r="B67" s="21"/>
      <c r="C67" s="21"/>
      <c r="D67" s="21"/>
      <c r="E67" s="21"/>
      <c r="F67" s="22">
        <f>SUM(F64:F66)</f>
        <v>9</v>
      </c>
      <c r="G67" s="23"/>
      <c r="H67" s="23"/>
      <c r="I67" s="22">
        <f>SUM(I64:I66)</f>
        <v>13500</v>
      </c>
    </row>
    <row r="68" ht="18" customHeight="1" spans="1:9">
      <c r="A68" s="9" t="s">
        <v>143</v>
      </c>
      <c r="B68" s="9"/>
      <c r="C68" s="9"/>
      <c r="D68" s="9"/>
      <c r="E68" s="9"/>
      <c r="F68" s="9"/>
      <c r="G68" s="9"/>
      <c r="H68" s="9"/>
      <c r="I68" s="9"/>
    </row>
    <row r="69" ht="33.75" customHeight="1" spans="1:9">
      <c r="A69" s="15">
        <v>40</v>
      </c>
      <c r="B69" s="16" t="s">
        <v>144</v>
      </c>
      <c r="C69" s="16" t="s">
        <v>145</v>
      </c>
      <c r="D69" s="17" t="s">
        <v>146</v>
      </c>
      <c r="E69" s="18" t="s">
        <v>28</v>
      </c>
      <c r="F69" s="15">
        <v>1</v>
      </c>
      <c r="G69" s="16" t="s">
        <v>6</v>
      </c>
      <c r="H69" s="15">
        <f>B6</f>
        <v>1500</v>
      </c>
      <c r="I69" s="15">
        <f t="shared" ref="I69:I75" si="3">F69*H69</f>
        <v>1500</v>
      </c>
    </row>
    <row r="70" ht="33.75" customHeight="1" spans="1:9">
      <c r="A70" s="10">
        <v>41</v>
      </c>
      <c r="B70" s="11" t="s">
        <v>147</v>
      </c>
      <c r="C70" s="11" t="s">
        <v>148</v>
      </c>
      <c r="D70" s="13" t="s">
        <v>149</v>
      </c>
      <c r="E70" s="14" t="s">
        <v>28</v>
      </c>
      <c r="F70" s="10">
        <v>1</v>
      </c>
      <c r="G70" s="11" t="s">
        <v>6</v>
      </c>
      <c r="H70" s="15">
        <f>B6</f>
        <v>1500</v>
      </c>
      <c r="I70" s="10">
        <f t="shared" si="3"/>
        <v>1500</v>
      </c>
    </row>
    <row r="71" ht="33.75" customHeight="1" spans="1:9">
      <c r="A71" s="15">
        <v>42</v>
      </c>
      <c r="B71" s="16" t="s">
        <v>150</v>
      </c>
      <c r="C71" s="16" t="s">
        <v>151</v>
      </c>
      <c r="D71" s="17" t="s">
        <v>152</v>
      </c>
      <c r="E71" s="18" t="s">
        <v>28</v>
      </c>
      <c r="F71" s="15">
        <v>1</v>
      </c>
      <c r="G71" s="16" t="s">
        <v>6</v>
      </c>
      <c r="H71" s="15">
        <f>B6</f>
        <v>1500</v>
      </c>
      <c r="I71" s="15">
        <f t="shared" si="3"/>
        <v>1500</v>
      </c>
    </row>
    <row r="72" ht="33.75" customHeight="1" spans="1:9">
      <c r="A72" s="10">
        <v>43</v>
      </c>
      <c r="B72" s="11" t="s">
        <v>153</v>
      </c>
      <c r="C72" s="11" t="s">
        <v>154</v>
      </c>
      <c r="D72" s="13" t="s">
        <v>155</v>
      </c>
      <c r="E72" s="14" t="s">
        <v>28</v>
      </c>
      <c r="F72" s="10">
        <v>1</v>
      </c>
      <c r="G72" s="11" t="s">
        <v>6</v>
      </c>
      <c r="H72" s="15">
        <f>B6</f>
        <v>1500</v>
      </c>
      <c r="I72" s="10">
        <f t="shared" si="3"/>
        <v>1500</v>
      </c>
    </row>
    <row r="73" ht="33.75" customHeight="1" spans="1:9">
      <c r="A73" s="15">
        <v>44</v>
      </c>
      <c r="B73" s="16" t="s">
        <v>156</v>
      </c>
      <c r="C73" s="16" t="s">
        <v>157</v>
      </c>
      <c r="D73" s="17" t="s">
        <v>158</v>
      </c>
      <c r="E73" s="18" t="s">
        <v>28</v>
      </c>
      <c r="F73" s="15">
        <v>1</v>
      </c>
      <c r="G73" s="16" t="s">
        <v>6</v>
      </c>
      <c r="H73" s="15">
        <f>B6</f>
        <v>1500</v>
      </c>
      <c r="I73" s="15">
        <f t="shared" si="3"/>
        <v>1500</v>
      </c>
    </row>
    <row r="74" ht="33.75" customHeight="1" spans="1:9">
      <c r="A74" s="10">
        <v>45</v>
      </c>
      <c r="B74" s="11" t="s">
        <v>159</v>
      </c>
      <c r="C74" s="11" t="s">
        <v>160</v>
      </c>
      <c r="D74" s="13" t="s">
        <v>161</v>
      </c>
      <c r="E74" s="14" t="s">
        <v>28</v>
      </c>
      <c r="F74" s="10">
        <v>3</v>
      </c>
      <c r="G74" s="11" t="s">
        <v>8</v>
      </c>
      <c r="H74" s="15">
        <f>B7</f>
        <v>1500</v>
      </c>
      <c r="I74" s="10">
        <f t="shared" si="3"/>
        <v>4500</v>
      </c>
    </row>
    <row r="75" ht="33.75" customHeight="1" spans="1:9">
      <c r="A75" s="15">
        <v>46</v>
      </c>
      <c r="B75" s="16" t="s">
        <v>162</v>
      </c>
      <c r="C75" s="16" t="s">
        <v>163</v>
      </c>
      <c r="D75" s="17" t="s">
        <v>164</v>
      </c>
      <c r="E75" s="18" t="s">
        <v>28</v>
      </c>
      <c r="F75" s="15">
        <v>10</v>
      </c>
      <c r="G75" s="16" t="s">
        <v>8</v>
      </c>
      <c r="H75" s="15">
        <f>B7</f>
        <v>1500</v>
      </c>
      <c r="I75" s="15">
        <f t="shared" si="3"/>
        <v>15000</v>
      </c>
    </row>
    <row r="76" ht="18" customHeight="1" spans="1:9">
      <c r="A76" s="21" t="s">
        <v>39</v>
      </c>
      <c r="B76" s="21"/>
      <c r="C76" s="21"/>
      <c r="D76" s="21"/>
      <c r="E76" s="21"/>
      <c r="F76" s="22">
        <f>SUM(F69:F75)</f>
        <v>18</v>
      </c>
      <c r="G76" s="23"/>
      <c r="H76" s="23"/>
      <c r="I76" s="22">
        <f>SUM(I69:I75)</f>
        <v>27000</v>
      </c>
    </row>
    <row r="77" ht="18" customHeight="1" spans="1:9">
      <c r="A77" s="9" t="s">
        <v>165</v>
      </c>
      <c r="B77" s="9"/>
      <c r="C77" s="9"/>
      <c r="D77" s="9"/>
      <c r="E77" s="9"/>
      <c r="F77" s="9"/>
      <c r="G77" s="9"/>
      <c r="H77" s="9"/>
      <c r="I77" s="9"/>
    </row>
    <row r="78" ht="33.75" customHeight="1" spans="1:9">
      <c r="A78" s="10">
        <v>47</v>
      </c>
      <c r="B78" s="11" t="s">
        <v>166</v>
      </c>
      <c r="C78" s="11" t="s">
        <v>167</v>
      </c>
      <c r="D78" s="13" t="s">
        <v>168</v>
      </c>
      <c r="E78" s="14" t="s">
        <v>28</v>
      </c>
      <c r="F78" s="10">
        <v>3</v>
      </c>
      <c r="G78" s="11" t="s">
        <v>6</v>
      </c>
      <c r="H78" s="15">
        <f>B6</f>
        <v>1500</v>
      </c>
      <c r="I78" s="10">
        <f>F78*H78</f>
        <v>4500</v>
      </c>
    </row>
    <row r="79" ht="33.75" customHeight="1" spans="1:9">
      <c r="A79" s="15">
        <v>48</v>
      </c>
      <c r="B79" s="16" t="s">
        <v>169</v>
      </c>
      <c r="C79" s="16" t="s">
        <v>170</v>
      </c>
      <c r="D79" s="17" t="s">
        <v>171</v>
      </c>
      <c r="E79" s="18" t="s">
        <v>28</v>
      </c>
      <c r="F79" s="15">
        <v>3</v>
      </c>
      <c r="G79" s="16" t="s">
        <v>8</v>
      </c>
      <c r="H79" s="15">
        <f>B7</f>
        <v>1500</v>
      </c>
      <c r="I79" s="15">
        <f>F79*H79</f>
        <v>4500</v>
      </c>
    </row>
    <row r="80" ht="33.75" customHeight="1" spans="1:9">
      <c r="A80" s="10">
        <v>49</v>
      </c>
      <c r="B80" s="11" t="s">
        <v>124</v>
      </c>
      <c r="C80" s="11" t="s">
        <v>172</v>
      </c>
      <c r="D80" s="13" t="s">
        <v>173</v>
      </c>
      <c r="E80" s="14" t="s">
        <v>28</v>
      </c>
      <c r="F80" s="10">
        <v>2</v>
      </c>
      <c r="G80" s="11" t="s">
        <v>6</v>
      </c>
      <c r="H80" s="15">
        <f>B6</f>
        <v>1500</v>
      </c>
      <c r="I80" s="10">
        <f>F80*H80</f>
        <v>3000</v>
      </c>
    </row>
    <row r="81" ht="33.75" customHeight="1" spans="1:9">
      <c r="A81" s="15">
        <v>50</v>
      </c>
      <c r="B81" s="16" t="s">
        <v>174</v>
      </c>
      <c r="C81" s="16" t="s">
        <v>175</v>
      </c>
      <c r="D81" s="17" t="s">
        <v>176</v>
      </c>
      <c r="E81" s="18" t="s">
        <v>28</v>
      </c>
      <c r="F81" s="15">
        <v>5</v>
      </c>
      <c r="G81" s="16" t="s">
        <v>8</v>
      </c>
      <c r="H81" s="15">
        <f>B7</f>
        <v>1500</v>
      </c>
      <c r="I81" s="15">
        <f>F81*H81</f>
        <v>7500</v>
      </c>
    </row>
    <row r="82" ht="18" customHeight="1" spans="1:9">
      <c r="A82" s="21" t="s">
        <v>39</v>
      </c>
      <c r="B82" s="21"/>
      <c r="C82" s="21"/>
      <c r="D82" s="21"/>
      <c r="E82" s="21"/>
      <c r="F82" s="22">
        <f>SUM(F78:F81)</f>
        <v>13</v>
      </c>
      <c r="G82" s="23"/>
      <c r="H82" s="23"/>
      <c r="I82" s="22">
        <f>SUM(I78:I81)</f>
        <v>19500</v>
      </c>
    </row>
    <row r="83" ht="18" customHeight="1" spans="1:9">
      <c r="A83" s="9" t="s">
        <v>177</v>
      </c>
      <c r="B83" s="9"/>
      <c r="C83" s="9"/>
      <c r="D83" s="9"/>
      <c r="E83" s="9"/>
      <c r="F83" s="9"/>
      <c r="G83" s="9"/>
      <c r="H83" s="9"/>
      <c r="I83" s="9"/>
    </row>
    <row r="84" ht="33.75" customHeight="1" spans="1:9">
      <c r="A84" s="15">
        <v>52</v>
      </c>
      <c r="B84" s="16" t="s">
        <v>178</v>
      </c>
      <c r="C84" s="16" t="s">
        <v>179</v>
      </c>
      <c r="D84" s="17" t="s">
        <v>180</v>
      </c>
      <c r="E84" s="18" t="s">
        <v>28</v>
      </c>
      <c r="F84" s="15">
        <v>3</v>
      </c>
      <c r="G84" s="16" t="s">
        <v>8</v>
      </c>
      <c r="H84" s="15">
        <f>B7</f>
        <v>1500</v>
      </c>
      <c r="I84" s="15">
        <f>F84*H84</f>
        <v>4500</v>
      </c>
    </row>
    <row r="85" ht="18" customHeight="1" spans="1:9">
      <c r="A85" s="21" t="s">
        <v>39</v>
      </c>
      <c r="B85" s="21"/>
      <c r="C85" s="21"/>
      <c r="D85" s="21"/>
      <c r="E85" s="21"/>
      <c r="F85" s="22">
        <f>SUM(F84:F84)</f>
        <v>3</v>
      </c>
      <c r="G85" s="23"/>
      <c r="H85" s="23"/>
      <c r="I85" s="22">
        <f>SUM(I84:I84)</f>
        <v>4500</v>
      </c>
    </row>
    <row r="86" ht="18" customHeight="1" spans="1:9">
      <c r="A86" s="9" t="s">
        <v>181</v>
      </c>
      <c r="B86" s="9"/>
      <c r="C86" s="9"/>
      <c r="D86" s="9"/>
      <c r="E86" s="9"/>
      <c r="F86" s="9"/>
      <c r="G86" s="9"/>
      <c r="H86" s="9"/>
      <c r="I86" s="9"/>
    </row>
    <row r="87" ht="33.75" customHeight="1" spans="1:9">
      <c r="A87" s="15">
        <v>54</v>
      </c>
      <c r="B87" s="16" t="s">
        <v>182</v>
      </c>
      <c r="C87" s="19" t="s">
        <v>183</v>
      </c>
      <c r="D87" s="17" t="s">
        <v>184</v>
      </c>
      <c r="E87" s="18" t="s">
        <v>28</v>
      </c>
      <c r="F87" s="15">
        <v>1</v>
      </c>
      <c r="G87" s="16" t="s">
        <v>6</v>
      </c>
      <c r="H87" s="15">
        <f>B6</f>
        <v>1500</v>
      </c>
      <c r="I87" s="15">
        <f>F87*H87</f>
        <v>1500</v>
      </c>
    </row>
    <row r="88" ht="33.75" customHeight="1" spans="1:9">
      <c r="A88" s="10">
        <v>55</v>
      </c>
      <c r="B88" s="11" t="s">
        <v>185</v>
      </c>
      <c r="C88" s="11" t="s">
        <v>186</v>
      </c>
      <c r="D88" s="13" t="s">
        <v>187</v>
      </c>
      <c r="E88" s="14" t="s">
        <v>28</v>
      </c>
      <c r="F88" s="10">
        <v>1</v>
      </c>
      <c r="G88" s="11" t="s">
        <v>6</v>
      </c>
      <c r="H88" s="15">
        <f>B6</f>
        <v>1500</v>
      </c>
      <c r="I88" s="10">
        <f>F88*H88</f>
        <v>1500</v>
      </c>
    </row>
    <row r="89" ht="33.75" customHeight="1" spans="1:9">
      <c r="A89" s="15">
        <v>56</v>
      </c>
      <c r="B89" s="16" t="s">
        <v>188</v>
      </c>
      <c r="C89" s="16" t="s">
        <v>189</v>
      </c>
      <c r="D89" s="17" t="s">
        <v>190</v>
      </c>
      <c r="E89" s="18" t="s">
        <v>28</v>
      </c>
      <c r="F89" s="15">
        <v>1</v>
      </c>
      <c r="G89" s="16" t="s">
        <v>6</v>
      </c>
      <c r="H89" s="15">
        <f>B6</f>
        <v>1500</v>
      </c>
      <c r="I89" s="15">
        <f>F89*H89</f>
        <v>1500</v>
      </c>
    </row>
    <row r="90" ht="33.75" customHeight="1" spans="1:9">
      <c r="A90" s="10">
        <v>57</v>
      </c>
      <c r="B90" s="11" t="s">
        <v>191</v>
      </c>
      <c r="C90" s="11" t="s">
        <v>192</v>
      </c>
      <c r="D90" s="13" t="s">
        <v>193</v>
      </c>
      <c r="E90" s="14" t="s">
        <v>28</v>
      </c>
      <c r="F90" s="10">
        <v>1</v>
      </c>
      <c r="G90" s="11" t="s">
        <v>6</v>
      </c>
      <c r="H90" s="15">
        <f>B6</f>
        <v>1500</v>
      </c>
      <c r="I90" s="10">
        <f>F90*H90</f>
        <v>1500</v>
      </c>
    </row>
    <row r="91" ht="18" customHeight="1" spans="1:9">
      <c r="A91" s="21" t="s">
        <v>39</v>
      </c>
      <c r="B91" s="21"/>
      <c r="C91" s="21"/>
      <c r="D91" s="21"/>
      <c r="E91" s="21"/>
      <c r="F91" s="22">
        <f>SUM(F87:F90)</f>
        <v>4</v>
      </c>
      <c r="G91" s="23"/>
      <c r="H91" s="23"/>
      <c r="I91" s="22">
        <f>SUM(I87:I90)</f>
        <v>6000</v>
      </c>
    </row>
    <row r="92" ht="18" customHeight="1" spans="1:9">
      <c r="A92" s="9" t="s">
        <v>194</v>
      </c>
      <c r="B92" s="9"/>
      <c r="C92" s="9"/>
      <c r="D92" s="9"/>
      <c r="E92" s="9"/>
      <c r="F92" s="9"/>
      <c r="G92" s="9"/>
      <c r="H92" s="9"/>
      <c r="I92" s="9"/>
    </row>
    <row r="93" ht="33.75" customHeight="1" spans="1:9">
      <c r="A93" s="15">
        <v>58</v>
      </c>
      <c r="B93" s="19" t="s">
        <v>195</v>
      </c>
      <c r="C93" s="16" t="s">
        <v>196</v>
      </c>
      <c r="D93" s="17" t="s">
        <v>197</v>
      </c>
      <c r="E93" s="18" t="s">
        <v>198</v>
      </c>
      <c r="F93" s="15">
        <v>2</v>
      </c>
      <c r="G93" s="16" t="s">
        <v>12</v>
      </c>
      <c r="H93" s="15">
        <f>B9</f>
        <v>600</v>
      </c>
      <c r="I93" s="15">
        <f t="shared" ref="I93:I98" si="4">F93*H93</f>
        <v>1200</v>
      </c>
    </row>
    <row r="94" ht="33.75" customHeight="1" spans="1:9">
      <c r="A94" s="10">
        <v>59</v>
      </c>
      <c r="B94" s="12" t="s">
        <v>195</v>
      </c>
      <c r="C94" s="11" t="s">
        <v>199</v>
      </c>
      <c r="D94" s="13" t="s">
        <v>200</v>
      </c>
      <c r="E94" s="14" t="s">
        <v>198</v>
      </c>
      <c r="F94" s="10">
        <v>4</v>
      </c>
      <c r="G94" s="11" t="s">
        <v>12</v>
      </c>
      <c r="H94" s="15">
        <f>B9</f>
        <v>600</v>
      </c>
      <c r="I94" s="10">
        <f t="shared" si="4"/>
        <v>2400</v>
      </c>
    </row>
    <row r="95" ht="33.75" customHeight="1" spans="1:9">
      <c r="A95" s="15">
        <v>60</v>
      </c>
      <c r="B95" s="19" t="s">
        <v>195</v>
      </c>
      <c r="C95" s="16" t="s">
        <v>201</v>
      </c>
      <c r="D95" s="17" t="s">
        <v>202</v>
      </c>
      <c r="E95" s="18" t="s">
        <v>198</v>
      </c>
      <c r="F95" s="15">
        <v>3</v>
      </c>
      <c r="G95" s="16" t="s">
        <v>12</v>
      </c>
      <c r="H95" s="15">
        <f>B9</f>
        <v>600</v>
      </c>
      <c r="I95" s="15">
        <f t="shared" si="4"/>
        <v>1800</v>
      </c>
    </row>
    <row r="96" ht="33.75" customHeight="1" spans="1:9">
      <c r="A96" s="10">
        <v>61</v>
      </c>
      <c r="B96" s="12" t="s">
        <v>195</v>
      </c>
      <c r="C96" s="12" t="s">
        <v>203</v>
      </c>
      <c r="D96" s="26" t="s">
        <v>204</v>
      </c>
      <c r="E96" s="14" t="s">
        <v>198</v>
      </c>
      <c r="F96" s="10">
        <v>2</v>
      </c>
      <c r="G96" s="11" t="s">
        <v>12</v>
      </c>
      <c r="H96" s="15">
        <f>B9</f>
        <v>600</v>
      </c>
      <c r="I96" s="10">
        <f t="shared" si="4"/>
        <v>1200</v>
      </c>
    </row>
    <row r="97" ht="33.75" customHeight="1" spans="1:9">
      <c r="A97" s="15">
        <v>62</v>
      </c>
      <c r="B97" s="19" t="s">
        <v>195</v>
      </c>
      <c r="C97" s="16" t="s">
        <v>205</v>
      </c>
      <c r="D97" s="17" t="s">
        <v>206</v>
      </c>
      <c r="E97" s="18" t="s">
        <v>198</v>
      </c>
      <c r="F97" s="15">
        <v>3</v>
      </c>
      <c r="G97" s="16" t="s">
        <v>12</v>
      </c>
      <c r="H97" s="15">
        <f>B9</f>
        <v>600</v>
      </c>
      <c r="I97" s="15">
        <f t="shared" si="4"/>
        <v>1800</v>
      </c>
    </row>
    <row r="98" ht="33.75" customHeight="1" spans="1:9">
      <c r="A98" s="10">
        <v>63</v>
      </c>
      <c r="B98" s="12" t="s">
        <v>195</v>
      </c>
      <c r="C98" s="11" t="s">
        <v>207</v>
      </c>
      <c r="D98" s="13" t="s">
        <v>208</v>
      </c>
      <c r="E98" s="14" t="s">
        <v>198</v>
      </c>
      <c r="F98" s="10">
        <v>1</v>
      </c>
      <c r="G98" s="11" t="s">
        <v>12</v>
      </c>
      <c r="H98" s="15">
        <f>B9</f>
        <v>600</v>
      </c>
      <c r="I98" s="10">
        <f t="shared" si="4"/>
        <v>600</v>
      </c>
    </row>
    <row r="99" ht="18" customHeight="1" spans="1:9">
      <c r="A99" s="21" t="s">
        <v>39</v>
      </c>
      <c r="B99" s="21"/>
      <c r="C99" s="21"/>
      <c r="D99" s="21"/>
      <c r="E99" s="21"/>
      <c r="F99" s="22">
        <f>SUM(F93:F98)</f>
        <v>15</v>
      </c>
      <c r="G99" s="23"/>
      <c r="H99" s="23"/>
      <c r="I99" s="22">
        <f>SUM(I93:I98)</f>
        <v>9000</v>
      </c>
    </row>
    <row r="100" ht="18" customHeight="1" spans="1:9">
      <c r="A100" s="9" t="s">
        <v>209</v>
      </c>
      <c r="B100" s="9"/>
      <c r="C100" s="9"/>
      <c r="D100" s="9"/>
      <c r="E100" s="9"/>
      <c r="F100" s="9"/>
      <c r="G100" s="9"/>
      <c r="H100" s="9"/>
      <c r="I100" s="9"/>
    </row>
    <row r="101" ht="33.75" customHeight="1" spans="1:9">
      <c r="A101" s="15">
        <v>64</v>
      </c>
      <c r="B101" s="16" t="s">
        <v>210</v>
      </c>
      <c r="C101" s="16" t="s">
        <v>211</v>
      </c>
      <c r="D101" s="17" t="s">
        <v>212</v>
      </c>
      <c r="E101" s="18" t="s">
        <v>213</v>
      </c>
      <c r="F101" s="15">
        <v>5</v>
      </c>
      <c r="G101" s="16" t="s">
        <v>10</v>
      </c>
      <c r="H101" s="15">
        <f>B8</f>
        <v>500</v>
      </c>
      <c r="I101" s="15">
        <f>F101*H101</f>
        <v>2500</v>
      </c>
    </row>
    <row r="102" ht="33.75" customHeight="1" spans="1:9">
      <c r="A102" s="10">
        <v>65</v>
      </c>
      <c r="B102" s="11" t="s">
        <v>214</v>
      </c>
      <c r="C102" s="11" t="s">
        <v>215</v>
      </c>
      <c r="D102" s="13" t="s">
        <v>216</v>
      </c>
      <c r="E102" s="14" t="s">
        <v>213</v>
      </c>
      <c r="F102" s="10">
        <v>1</v>
      </c>
      <c r="G102" s="11" t="s">
        <v>10</v>
      </c>
      <c r="H102" s="10">
        <f>B8</f>
        <v>500</v>
      </c>
      <c r="I102" s="10">
        <f>F102*H102</f>
        <v>500</v>
      </c>
    </row>
    <row r="103" ht="33.75" customHeight="1" spans="1:9">
      <c r="A103" s="15">
        <v>66</v>
      </c>
      <c r="B103" s="16" t="s">
        <v>217</v>
      </c>
      <c r="C103" s="16" t="s">
        <v>218</v>
      </c>
      <c r="D103" s="17" t="s">
        <v>219</v>
      </c>
      <c r="E103" s="18" t="s">
        <v>213</v>
      </c>
      <c r="F103" s="15">
        <v>1</v>
      </c>
      <c r="G103" s="16" t="s">
        <v>10</v>
      </c>
      <c r="H103" s="15">
        <f>B8</f>
        <v>500</v>
      </c>
      <c r="I103" s="15">
        <f>F103*H103</f>
        <v>500</v>
      </c>
    </row>
    <row r="104" ht="18" customHeight="1" spans="1:9">
      <c r="A104" s="21" t="s">
        <v>39</v>
      </c>
      <c r="B104" s="21"/>
      <c r="C104" s="21"/>
      <c r="D104" s="21"/>
      <c r="E104" s="21"/>
      <c r="F104" s="22">
        <f>SUM(F101:F103)</f>
        <v>7</v>
      </c>
      <c r="G104" s="23"/>
      <c r="H104" s="23"/>
      <c r="I104" s="22">
        <f>SUM(I101:I103)</f>
        <v>3500</v>
      </c>
    </row>
    <row r="105" ht="18" customHeight="1" spans="1:9">
      <c r="A105" s="9" t="s">
        <v>220</v>
      </c>
      <c r="B105" s="9"/>
      <c r="C105" s="9"/>
      <c r="D105" s="9"/>
      <c r="E105" s="9"/>
      <c r="F105" s="9"/>
      <c r="G105" s="9"/>
      <c r="H105" s="9"/>
      <c r="I105" s="9"/>
    </row>
    <row r="106" ht="33.75" customHeight="1" spans="1:9">
      <c r="A106" s="10">
        <v>67</v>
      </c>
      <c r="B106" s="11" t="s">
        <v>221</v>
      </c>
      <c r="C106" s="11" t="s">
        <v>222</v>
      </c>
      <c r="D106" s="13" t="s">
        <v>223</v>
      </c>
      <c r="E106" s="14" t="s">
        <v>224</v>
      </c>
      <c r="F106" s="10">
        <v>2</v>
      </c>
      <c r="G106" s="11" t="s">
        <v>4</v>
      </c>
      <c r="H106" s="10">
        <f>B5</f>
        <v>1300</v>
      </c>
      <c r="I106" s="10">
        <f>F106*H106</f>
        <v>2600</v>
      </c>
    </row>
    <row r="107" ht="33.75" customHeight="1" spans="1:9">
      <c r="A107" s="15">
        <v>68</v>
      </c>
      <c r="B107" s="16" t="s">
        <v>225</v>
      </c>
      <c r="C107" s="16" t="s">
        <v>226</v>
      </c>
      <c r="D107" s="17" t="s">
        <v>227</v>
      </c>
      <c r="E107" s="18" t="s">
        <v>224</v>
      </c>
      <c r="F107" s="15">
        <v>2</v>
      </c>
      <c r="G107" s="16" t="s">
        <v>4</v>
      </c>
      <c r="H107" s="10">
        <f>B5</f>
        <v>1300</v>
      </c>
      <c r="I107" s="15">
        <f>F107*H107</f>
        <v>2600</v>
      </c>
    </row>
    <row r="108" ht="33.75" customHeight="1" spans="1:9">
      <c r="A108" s="10">
        <v>69</v>
      </c>
      <c r="B108" s="11" t="s">
        <v>228</v>
      </c>
      <c r="C108" s="11" t="s">
        <v>229</v>
      </c>
      <c r="D108" s="13" t="s">
        <v>230</v>
      </c>
      <c r="E108" s="10" t="s">
        <v>231</v>
      </c>
      <c r="F108" s="10">
        <v>5</v>
      </c>
      <c r="G108" s="11" t="s">
        <v>4</v>
      </c>
      <c r="H108" s="10">
        <f>B5</f>
        <v>1300</v>
      </c>
      <c r="I108" s="10">
        <f>F108*H108</f>
        <v>6500</v>
      </c>
    </row>
    <row r="109" ht="18" customHeight="1" spans="1:9">
      <c r="A109" s="21" t="s">
        <v>39</v>
      </c>
      <c r="B109" s="21"/>
      <c r="C109" s="21"/>
      <c r="D109" s="21"/>
      <c r="E109" s="21"/>
      <c r="F109" s="22">
        <f>SUM(F106:F108)</f>
        <v>9</v>
      </c>
      <c r="G109" s="23"/>
      <c r="H109" s="23"/>
      <c r="I109" s="22">
        <f>SUM(I106:I108)</f>
        <v>11700</v>
      </c>
    </row>
    <row r="110" ht="24" customHeight="1" spans="1:9">
      <c r="A110" s="27" t="s">
        <v>232</v>
      </c>
      <c r="B110" s="28"/>
      <c r="C110" s="28"/>
      <c r="D110" s="28"/>
      <c r="E110" s="29"/>
      <c r="F110" s="30">
        <f>SUM(F109,F104,F99,F91,F85,F82,F76,F67,F62,F57,F50,F43,F35,F27,F20)</f>
        <v>195</v>
      </c>
      <c r="G110" s="30"/>
      <c r="H110" s="30"/>
      <c r="I110" s="31">
        <f>I20+I27+I35+I43+I50+I57+I62+I67+I76+I82+I85+I91+I99+I104+I109</f>
        <v>269600</v>
      </c>
    </row>
  </sheetData>
  <autoFilter xmlns:etc="http://www.wps.cn/officeDocument/2017/etCustomData" ref="A1:I110" etc:filterBottomFollowUsedRange="0">
    <extLst/>
  </autoFilter>
  <mergeCells count="31">
    <mergeCell ref="A14:I14"/>
    <mergeCell ref="A20:E20"/>
    <mergeCell ref="A21:I21"/>
    <mergeCell ref="A27:E27"/>
    <mergeCell ref="A28:I28"/>
    <mergeCell ref="A35:E35"/>
    <mergeCell ref="A36:I36"/>
    <mergeCell ref="A43:E43"/>
    <mergeCell ref="A44:I44"/>
    <mergeCell ref="A50:E50"/>
    <mergeCell ref="A51:I51"/>
    <mergeCell ref="A57:E57"/>
    <mergeCell ref="A58:I58"/>
    <mergeCell ref="A62:E62"/>
    <mergeCell ref="A63:I63"/>
    <mergeCell ref="A67:E67"/>
    <mergeCell ref="A68:I68"/>
    <mergeCell ref="A76:E76"/>
    <mergeCell ref="A77:I77"/>
    <mergeCell ref="A82:E82"/>
    <mergeCell ref="A83:I83"/>
    <mergeCell ref="A85:E85"/>
    <mergeCell ref="A86:I86"/>
    <mergeCell ref="A91:E91"/>
    <mergeCell ref="A92:I92"/>
    <mergeCell ref="A99:E99"/>
    <mergeCell ref="A100:I100"/>
    <mergeCell ref="A104:E104"/>
    <mergeCell ref="A105:I105"/>
    <mergeCell ref="A109:E109"/>
    <mergeCell ref="A110:E110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崔港</cp:lastModifiedBy>
  <cp:revision>0</cp:revision>
  <dcterms:created xsi:type="dcterms:W3CDTF">2026-04-16T07:13:00Z</dcterms:created>
  <dcterms:modified xsi:type="dcterms:W3CDTF">2026-04-16T08:00:13Z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499F6DB64D1E4FD089B5591473B9F98B_12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